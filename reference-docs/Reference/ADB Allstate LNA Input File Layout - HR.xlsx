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homari\Downloads\Telegram Desktop\"/>
    </mc:Choice>
  </mc:AlternateContent>
  <xr:revisionPtr revIDLastSave="0" documentId="13_ncr:1_{2FB09147-CA44-4B2A-BAF0-E35F8D63ECFB}" xr6:coauthVersionLast="47" xr6:coauthVersionMax="47" xr10:uidLastSave="{00000000-0000-0000-0000-000000000000}"/>
  <bookViews>
    <workbookView xWindow="28680" yWindow="-120" windowWidth="29040" windowHeight="15720" firstSheet="2" activeTab="3" xr2:uid="{00000000-000D-0000-FFFF-FFFF00000000}"/>
  </bookViews>
  <sheets>
    <sheet name="Index" sheetId="1" r:id="rId1"/>
    <sheet name="A - Submit Header" sheetId="2" r:id="rId2"/>
    <sheet name="B - Contra Header" sheetId="3" r:id="rId3"/>
    <sheet name="C - Firm Entity" sheetId="4" r:id="rId4"/>
    <sheet name="D01 - Producer" sheetId="5" r:id="rId5"/>
    <sheet name="D02 - Producer Profile" sheetId="6" r:id="rId6"/>
    <sheet name="Z - Bundle Trailer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2" i="4" l="1"/>
</calcChain>
</file>

<file path=xl/sharedStrings.xml><?xml version="1.0" encoding="utf-8"?>
<sst xmlns="http://schemas.openxmlformats.org/spreadsheetml/2006/main" count="602" uniqueCount="285">
  <si>
    <t>ADB Allstate LNA Input File - Record Layouts</t>
  </si>
  <si>
    <t>Source: UTP27301 (intake/validation) + copybook CPYALLST. File: ALLST DD = AX29UT.WBQ.ALLSTATE.LNA.Dxxx, RECFM=FB, LRECL=600.</t>
  </si>
  <si>
    <t>File order: A header, then per BD bundle: B, C(BD), C(LLE/HA)..., D01+D02 pairs..., Z. Unknown record types / sub-types go to the ADB SKIP file (reason 001 in-flow, 002 while skipping a rejected bundle).</t>
  </si>
  <si>
    <t>Tab</t>
  </si>
  <si>
    <t>Record Type</t>
  </si>
  <si>
    <t>Purpose</t>
  </si>
  <si>
    <t>Cardinality</t>
  </si>
  <si>
    <t>A - Submit Header</t>
  </si>
  <si>
    <t>A</t>
  </si>
  <si>
    <t>File-level submitting header (company/date/count)</t>
  </si>
  <si>
    <t>1, first record</t>
  </si>
  <si>
    <t>B - Contra Header</t>
  </si>
  <si>
    <t>B</t>
  </si>
  <si>
    <t>Starts a Broker-Dealer firm bundle</t>
  </si>
  <si>
    <t>1 per BD bundle</t>
  </si>
  <si>
    <t>C - Firm Entity</t>
  </si>
  <si>
    <t>C</t>
  </si>
  <si>
    <t>Firm entity: BD (first), then LLE / House Account</t>
  </si>
  <si>
    <t>1+ per bundle</t>
  </si>
  <si>
    <t>D01 - Producer</t>
  </si>
  <si>
    <t>D01</t>
  </si>
  <si>
    <t>Producer (IP) personal data</t>
  </si>
  <si>
    <t>pairs with D02</t>
  </si>
  <si>
    <t>D02 - Producer Profile</t>
  </si>
  <si>
    <t>D02</t>
  </si>
  <si>
    <t>Producer (IP) appointment/profile</t>
  </si>
  <si>
    <t>immediately after its D01</t>
  </si>
  <si>
    <t>Z - Bundle Trailer</t>
  </si>
  <si>
    <t>Z</t>
  </si>
  <si>
    <t>Ends a BD bundle (commit point)</t>
  </si>
  <si>
    <t>1 per bundle</t>
  </si>
  <si>
    <t>-</t>
  </si>
  <si>
    <t>A Record - Submitting Header (1 per file, first record)</t>
  </si>
  <si>
    <t>PARM (18 bytes) = CYCLEDT(8) + COMPANY(8)='ALLSTATE' + DATEIND(1) + PROCESS(1). Header checks run only in PROCESS='N' mode.</t>
  </si>
  <si>
    <t>Field Name</t>
  </si>
  <si>
    <t>Data Type</t>
  </si>
  <si>
    <t>Start</t>
  </si>
  <si>
    <t>End</t>
  </si>
  <si>
    <t>Length</t>
  </si>
  <si>
    <t>Req</t>
  </si>
  <si>
    <t>Possible Values</t>
  </si>
  <si>
    <t>Validation Rules (UTP27301)</t>
  </si>
  <si>
    <t>Error Code</t>
  </si>
  <si>
    <t>LNA-REC-TYPE</t>
  </si>
  <si>
    <t>CHAR(1)</t>
  </si>
  <si>
    <t>Y</t>
  </si>
  <si>
    <t>'A'</t>
  </si>
  <si>
    <t>Must be the FIRST record of the file; if missing, control report gets 'SUBMITTING HEADER RECORD NOT PRESENT' and the whole run stops.</t>
  </si>
  <si>
    <t>WS-COMPANY-NAME</t>
  </si>
  <si>
    <t>CHAR(100)</t>
  </si>
  <si>
    <t>'ALLSTATE' (padded)</t>
  </si>
  <si>
    <t>Compared to COMPANY parm ('ALLSTATE', JCL UTP27301). Mismatch -&gt; control report COMPANY=NO, interface control validation fails, run stops.</t>
  </si>
  <si>
    <t>WS-TRANS-DATE</t>
  </si>
  <si>
    <t>DECIMAL(8,0)</t>
  </si>
  <si>
    <t>CCYYMMDD</t>
  </si>
  <si>
    <t>When DATEIND parm = 'Y', must equal CYCLEDT parm (processing date); mismatch stops the run. DATEIND='N' skips this check (NA).</t>
  </si>
  <si>
    <t>WS-TOT-REC-COUNT</t>
  </si>
  <si>
    <t>DECIMAL(12,0)</t>
  </si>
  <si>
    <t>000000000001-999999999999</t>
  </si>
  <si>
    <t>Must equal the actual file record count read from the RECCOUNT DD (companion count file built by a prior step). Mismatch stops the run.</t>
  </si>
  <si>
    <t>FILLER</t>
  </si>
  <si>
    <t>CHAR(479)</t>
  </si>
  <si>
    <t>N</t>
  </si>
  <si>
    <t>Spaces</t>
  </si>
  <si>
    <t>Not used.</t>
  </si>
  <si>
    <t>B Record - Contra Header (starts a BD firm bundle)</t>
  </si>
  <si>
    <t>'B'</t>
  </si>
  <si>
    <t>Contra header - starts a new BD firm bundle. A 'B' or 'Z' arriving while the previous bundle's first firm record is still pending raises B0400 (bundle without BD firm record) and rejects that bundle.</t>
  </si>
  <si>
    <t>B0400</t>
  </si>
  <si>
    <t>WS-ALLST-FIRM-NAME</t>
  </si>
  <si>
    <t>CHAR(50)</t>
  </si>
  <si>
    <t>Any non-blank text</t>
  </si>
  <si>
    <t>Required; blank/low-values rejects the bundle.</t>
  </si>
  <si>
    <t>B0100</t>
  </si>
  <si>
    <t>WS-ALLST-DIST-CHANNEL</t>
  </si>
  <si>
    <t>CHAR(2)</t>
  </si>
  <si>
    <t>Must match a DIST-CH-CD in PRU PROFILE rec A00001 (max 5 codes); also in UTT_ALL_DIST for reporting</t>
  </si>
  <si>
    <t>Blank or not in the A00001 channel list rejects the bundle. Test file uses 'EA' - seed A00001/UTT_ALL_DIST accordingly.</t>
  </si>
  <si>
    <t>B0200</t>
  </si>
  <si>
    <t>WS-BD-ALLSTATE-ID</t>
  </si>
  <si>
    <t>CHAR(10)</t>
  </si>
  <si>
    <t>Any non-blank id</t>
  </si>
  <si>
    <t>Required (B0300 if blank). If the BD id already exists in UTT_ALL_CNTR (entity BD, purpose ALLSTATE) the bundle is rejected as duplicate (B0700). LOB is taken from A00001-LOB-CD(1), not from the file.</t>
  </si>
  <si>
    <t>B0300 / B0700</t>
  </si>
  <si>
    <t>CHAR(537)</t>
  </si>
  <si>
    <t>C Record - Firm Entity (BD / LLE / HA)</t>
  </si>
  <si>
    <t>First C after a B must be the BD firm itself (entity 'BD', validated by 1510-VAL-FIRST-FIRM, error codes B06xx). Later C records are subsequent firms (entity 'BD'/'LLE'/'HA', validated by 1520/8005, error codes C07xx). Start/End are 1-based byte positions in the 600-byte record.</t>
  </si>
  <si>
    <t>'C'</t>
  </si>
  <si>
    <t>Firm entity record.</t>
  </si>
  <si>
    <t>WS-TAX-ID-NUM</t>
  </si>
  <si>
    <t>DECIMAL(9,0)</t>
  </si>
  <si>
    <t>9 digits; not 000000000 / 111111111 / 999999999</t>
  </si>
  <si>
    <t>All 9 bytes numeric and not the three dummy values (4050-VALIDATE-TIN-SSN).</t>
  </si>
  <si>
    <t>B0601 / C0701</t>
  </si>
  <si>
    <t>WS-FIRM-NAME</t>
  </si>
  <si>
    <t>Required.</t>
  </si>
  <si>
    <t>B0602 / C0702</t>
  </si>
  <si>
    <t>WS-ABBR-FIRM-NAME</t>
  </si>
  <si>
    <t>CHAR(27)</t>
  </si>
  <si>
    <t>Text</t>
  </si>
  <si>
    <t>Passed through to UTP27201; not validated here.</t>
  </si>
  <si>
    <t>WS-ALLSTATE-ID</t>
  </si>
  <si>
    <t>First C: must equal B record BD Allstate id. Subsequent C: any non-blank id</t>
  </si>
  <si>
    <t>First firm: id must match the contra header BD id (B0604). Subsequent firms: must be non-blank (C0704).</t>
  </si>
  <si>
    <t>B0604 / C0704</t>
  </si>
  <si>
    <t>WS-ENTITY-TYPE</t>
  </si>
  <si>
    <t>CHAR(3)</t>
  </si>
  <si>
    <t>'BD ', 'LLE', 'HA '</t>
  </si>
  <si>
    <t>First C must be 'BD' (else B0500). Subsequent C must be BD/LLE/HA (else C0716); a subsequent 'BD' with profile status 'A' is rejected as a duplicate active BD (C0714).</t>
  </si>
  <si>
    <t>B0500 / C0716 / C0714</t>
  </si>
  <si>
    <t>WS-FIRM-TYPE</t>
  </si>
  <si>
    <t>Code present in UTT_ALL_FIRM_TYP (test file uses 'BD' - seed the table)</t>
  </si>
  <si>
    <t>Blank or unknown code rejects the record (SQL lookup on FIRM_TYPE_CD).</t>
  </si>
  <si>
    <t>B0605 / C0705</t>
  </si>
  <si>
    <t>WS-CRD-NUM</t>
  </si>
  <si>
    <t>Text/digits</t>
  </si>
  <si>
    <t>Not validated in UTP27301.</t>
  </si>
  <si>
    <t>WS-RES-STATE</t>
  </si>
  <si>
    <t>Valid state code in VSAMTABL table UTTSTA01 (type E)</t>
  </si>
  <si>
    <t>Optional; when present must be a valid state.</t>
  </si>
  <si>
    <t>B0606 / C0706</t>
  </si>
  <si>
    <t>WS-BUS-COMM-ADD-L1</t>
  </si>
  <si>
    <t>CHAR(40)</t>
  </si>
  <si>
    <t>Business/commission address line 1 required; L2 without L1 is invalid.</t>
  </si>
  <si>
    <t>B0607 / C0707</t>
  </si>
  <si>
    <t>WS-BUS-COMM-ADD-L2</t>
  </si>
  <si>
    <t>Optional, only with L1.</t>
  </si>
  <si>
    <t>WS-BUS-COMM-CITY</t>
  </si>
  <si>
    <t>CHAR(20)</t>
  </si>
  <si>
    <t>WS-BUS-COMM-ST-CD</t>
  </si>
  <si>
    <t>Valid state (UTTSTA01)</t>
  </si>
  <si>
    <t>Required and must be valid.</t>
  </si>
  <si>
    <t>WS-BUS-COMM-ZIP-CD</t>
  </si>
  <si>
    <t>'99999-9999' or '99999' + 5 spaces; first 5 not 00000</t>
  </si>
  <si>
    <t>Required; 4250-VALIDATE-ZIP-CODE.</t>
  </si>
  <si>
    <t>WS-BUS-COMM-PH-NUM</t>
  </si>
  <si>
    <t>10 digits</t>
  </si>
  <si>
    <t>Optional; if present all 10 bytes numeric.</t>
  </si>
  <si>
    <t>WS-BUS-COMM-FAX-NUM</t>
  </si>
  <si>
    <t>Optional; same rule as phone.</t>
  </si>
  <si>
    <t>WS-BUS-COMM-EMAIL</t>
  </si>
  <si>
    <t>CHAR(60)</t>
  </si>
  <si>
    <t>Not validated.</t>
  </si>
  <si>
    <t>WS-CORRES-ADD-L1</t>
  </si>
  <si>
    <t>BD only</t>
  </si>
  <si>
    <t>Any non-blank text (BD); optional for LLE/HA</t>
  </si>
  <si>
    <t>Correspondence address block is required/validated only when entity type = 'BD'.</t>
  </si>
  <si>
    <t>B0608 / C0708</t>
  </si>
  <si>
    <t>WS-CORRES-ADD-L2</t>
  </si>
  <si>
    <t>Only with L1 (BD).</t>
  </si>
  <si>
    <t>WS-CORRES-CITY</t>
  </si>
  <si>
    <t>Non-blank (BD)</t>
  </si>
  <si>
    <t>Required for BD.</t>
  </si>
  <si>
    <t>WS-CORRES-ST-CD</t>
  </si>
  <si>
    <t>WS-CORRES-ZIP-CD</t>
  </si>
  <si>
    <t>'99999-9999' or '99999' + 5 spaces</t>
  </si>
  <si>
    <t>WS-CORRES-PH-NUM</t>
  </si>
  <si>
    <t>Validated for BD (blank fails numeric check on first C - populate it).</t>
  </si>
  <si>
    <t>WS-CORRES-FAX-NUM</t>
  </si>
  <si>
    <t>Validated for BD.</t>
  </si>
  <si>
    <t>WS-CORRES-EMAIL</t>
  </si>
  <si>
    <t>WS-PROFILE-STATUS</t>
  </si>
  <si>
    <t>'A' / 'I' / 'T'</t>
  </si>
  <si>
    <t>Active / Inactive / Terminated. LLE or HA with status 'A' under a non-active BD logs C0715 (warning). Unknown value rejects (B0609/C0709).</t>
  </si>
  <si>
    <t>B0609 / C0709 / C0715</t>
  </si>
  <si>
    <t>WS-PROF-START-DT</t>
  </si>
  <si>
    <t>CHAR(8)</t>
  </si>
  <si>
    <t>Valid CCYYMMDD</t>
  </si>
  <si>
    <t>Required valid date (TRCSMALL).</t>
  </si>
  <si>
    <t>B0610 / C0710</t>
  </si>
  <si>
    <t>WS-PROF-TERM-DT</t>
  </si>
  <si>
    <t>Status A: '99999999'. Status I/T: valid CCYYMMDD &gt;= start date</t>
  </si>
  <si>
    <t>Active records must carry high-date; terminated/inactive need a real term date not before the start date.</t>
  </si>
  <si>
    <t>B0611 / C0711</t>
  </si>
  <si>
    <t>Must match the bundle's B record id. On resumed bundles (after a Z) it must reference an existing BD in UTT_ALL_CNTR.</t>
  </si>
  <si>
    <t>B0613 / C0713</t>
  </si>
  <si>
    <t>WS-FIRM-ALLSTATE-ID</t>
  </si>
  <si>
    <t>Non-blank; HA: BD id or an LLE already related to the BD</t>
  </si>
  <si>
    <t>Required. For HA, if different from the BD id the program verifies a BD-LLE relationship exists in UTT_ALL_NODE_REL (REL_PURP 'LNA', type 02).</t>
  </si>
  <si>
    <t>B0612 / C0712 / C0717</t>
  </si>
  <si>
    <t>CHAR(65)</t>
  </si>
  <si>
    <t>D01 Record - Producer Entity (Investment Professional)</t>
  </si>
  <si>
    <t>'D'</t>
  </si>
  <si>
    <t>Producer records.</t>
  </si>
  <si>
    <t>WS-REC-SUB-TYPE</t>
  </si>
  <si>
    <t>'01'</t>
  </si>
  <si>
    <t>Sub-type other than 01/02 is skipped to the ADB SKIP file (reason 001/002). A valid D01 must be immediately followed by its D02 - a second D01 in a row raises E0100 (profile record missing).</t>
  </si>
  <si>
    <t>E0100</t>
  </si>
  <si>
    <t>WS-SOC-SEC-NUM</t>
  </si>
  <si>
    <t>4050-VALIDATE-TIN-SSN.</t>
  </si>
  <si>
    <t>D0101</t>
  </si>
  <si>
    <t>WS-FIRST-NAME</t>
  </si>
  <si>
    <t>Non-blank</t>
  </si>
  <si>
    <t>D0102</t>
  </si>
  <si>
    <t>WS-MIDDLE-NAME</t>
  </si>
  <si>
    <t>CHAR(25)</t>
  </si>
  <si>
    <t>Optional.</t>
  </si>
  <si>
    <t>WS-LAST-NAME</t>
  </si>
  <si>
    <t>CHAR(30)</t>
  </si>
  <si>
    <t>D0103</t>
  </si>
  <si>
    <t>WS-DOB</t>
  </si>
  <si>
    <t>Valid CCYYMMDD, at least ~16 years before processing date</t>
  </si>
  <si>
    <t>Optional; when present must be a valid date and &gt;= 5844 days (16 yrs) before the run date (4550-VALIDATE-DOB).</t>
  </si>
  <si>
    <t>D0104</t>
  </si>
  <si>
    <t>WS-SEX-CD</t>
  </si>
  <si>
    <t>'M' / 'F' / 'U' / space</t>
  </si>
  <si>
    <t>Space is defaulted to 'U'; anything else rejects.</t>
  </si>
  <si>
    <t>D0105</t>
  </si>
  <si>
    <t>WS-HOME-ADD-L1</t>
  </si>
  <si>
    <t>N*</t>
  </si>
  <si>
    <t>Non-blank if any other home-address field present</t>
  </si>
  <si>
    <t>Home address is all-or-nothing: L1 pairs with city/state/zip; L2 needs L1; L3 needs L2.</t>
  </si>
  <si>
    <t>D0106</t>
  </si>
  <si>
    <t>WS-HOME-ADD-L2</t>
  </si>
  <si>
    <t>Needs L1.</t>
  </si>
  <si>
    <t>WS-HOME-ADD-L3</t>
  </si>
  <si>
    <t>Needs L2.</t>
  </si>
  <si>
    <t>WS-HOME-CITY</t>
  </si>
  <si>
    <t>Paired with L1</t>
  </si>
  <si>
    <t>Present if and only if L1 present.</t>
  </si>
  <si>
    <t>WS-HOME-ST-CD</t>
  </si>
  <si>
    <t>Valid state (UTTSTA01); paired with L1</t>
  </si>
  <si>
    <t>Same pairing rule.</t>
  </si>
  <si>
    <t>WS-HOME-ZIP-CD</t>
  </si>
  <si>
    <t>'99999-9999' or '99999' + 5 spaces; paired with L1</t>
  </si>
  <si>
    <t>WS-HOME-PH-NUM</t>
  </si>
  <si>
    <t>WS-HOME-FAX-NUM</t>
  </si>
  <si>
    <t>WS-HOME-EMAIL</t>
  </si>
  <si>
    <t>WS-DESIGNATION1-7</t>
  </si>
  <si>
    <t>7 x CHAR(5)</t>
  </si>
  <si>
    <t>Codes present in UTT_ALL_DSGN (blank in test file)</t>
  </si>
  <si>
    <t>Each non-blank designation is looked up in UTT_ALL_DSGN; unknown code rejects.</t>
  </si>
  <si>
    <t>D0107</t>
  </si>
  <si>
    <t>CHAR(227)</t>
  </si>
  <si>
    <t>D02 Record - Producer Profile (appointment)</t>
  </si>
  <si>
    <t>Producer profile.</t>
  </si>
  <si>
    <t>'02'</t>
  </si>
  <si>
    <t>Must directly follow a valid D01; a D02 whose D01 was rejected is skipped (reason 002).</t>
  </si>
  <si>
    <t>Must match the producer entity record and pass the TIN/SSN edit.</t>
  </si>
  <si>
    <t>F0101</t>
  </si>
  <si>
    <t>WS-PROF-TYPE</t>
  </si>
  <si>
    <t>'C' / 'H'</t>
  </si>
  <si>
    <t>Profile type; any other value rejects.</t>
  </si>
  <si>
    <t>F0102</t>
  </si>
  <si>
    <t>Non-blank id</t>
  </si>
  <si>
    <t>Producer's Allstate id.</t>
  </si>
  <si>
    <t>F0103</t>
  </si>
  <si>
    <t>WS-EXTN-ID</t>
  </si>
  <si>
    <t>WS-BUS-ADD-L1</t>
  </si>
  <si>
    <t>Business address line 1 required.</t>
  </si>
  <si>
    <t>F0104</t>
  </si>
  <si>
    <t>WS-BUS-ADD-L2</t>
  </si>
  <si>
    <t>WS-BUS-CITY</t>
  </si>
  <si>
    <t>WS-BUS-ST-CD</t>
  </si>
  <si>
    <t>WS-BUS-ZIP-CD</t>
  </si>
  <si>
    <t>WS-BUS-PH-NUM</t>
  </si>
  <si>
    <t>WS-BUS-FAX-NUM</t>
  </si>
  <si>
    <t>WS-BUS-EMAIL</t>
  </si>
  <si>
    <t>F0105</t>
  </si>
  <si>
    <t>WS-PROD-ROLE</t>
  </si>
  <si>
    <t>MUST be spaces</t>
  </si>
  <si>
    <t>Any non-blank producer role is rejected - role codes are not accepted on the LNA feed.</t>
  </si>
  <si>
    <t>F0106</t>
  </si>
  <si>
    <t>Required (F0107). If different from the BD id, the LLE must exist in UTT_ALL_CNTR and be related to the BD in UTT_ALL_NODE_REL (else F0113).</t>
  </si>
  <si>
    <t>F0107 / F0113</t>
  </si>
  <si>
    <t>Required and must match the bundle BD (in-bundle) or an existing BD in UTT_ALL_CNTR (resumed bundle).</t>
  </si>
  <si>
    <t>F0108</t>
  </si>
  <si>
    <t>WS-RELN-STATUS</t>
  </si>
  <si>
    <t>'A' / 'T' / 'I'</t>
  </si>
  <si>
    <t>Appointment status. 'A' under a non-active BD logs F0109 (warning); unknown value rejects (F0110).</t>
  </si>
  <si>
    <t>F0109 / F0110</t>
  </si>
  <si>
    <t>WS-RELN-START-DT</t>
  </si>
  <si>
    <t>Required valid date.</t>
  </si>
  <si>
    <t>F0111</t>
  </si>
  <si>
    <t>WS-RELN-END-DT</t>
  </si>
  <si>
    <t>Same pattern as firm term date.</t>
  </si>
  <si>
    <t>F0112</t>
  </si>
  <si>
    <t>CHAR(323)</t>
  </si>
  <si>
    <t>Z Record - Bundle Terminator</t>
  </si>
  <si>
    <t>'Z'</t>
  </si>
  <si>
    <t>Bundle terminator - commits DB2 work, closes the current BD bundle and re-arms for the next B record. A Z arriving while the bundle never got its BD firm record raises B0400.</t>
  </si>
  <si>
    <t>CHAR(599)</t>
  </si>
  <si>
    <t xml:space="preserve"> =SSN of preceding D1</t>
  </si>
  <si>
    <t xml:space="preserve"> =bundle BD id, or an LLE already related to the BD</t>
  </si>
  <si>
    <t xml:space="preserve"> =contra header BD Allstate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</si>
</sst>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rgb="FF1F3864"/>
      <name val="Consolas"/>
    </font>
    <font>
      <i/>
      <sz val="9"/>
      <color rgb="FF595959"/>
      <name val="Consolas"/>
    </font>
    <font>
      <b/>
      <sz val="10"/>
      <color rgb="FFFFFFFF"/>
      <name val="Consolas"/>
    </font>
    <font>
      <sz val="10"/>
      <name val="Consolas"/>
    </font>
    <font>
      <b/>
      <sz val="14"/>
      <color rgb="FF1F3864"/>
      <name val="Consolas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5" fillId="0" borderId="0" xfId="0" applyFont="1"/>
    <xf numFmtId="0" fontId="3" fillId="2" borderId="1" xfId="0" applyFont="1" applyFill="1" applyBorder="1"/>
    <xf numFmtId="0" fontId="4" fillId="0" borderId="1" xfId="0" applyFont="1" applyBorder="1" applyAlignment="1">
      <alignment vertical="top"/>
    </xf>
    <xf numFmtId="0" fontId="4" fillId="3" borderId="1" xfId="0" applyFont="1" applyFill="1" applyBorder="1" applyAlignment="1">
      <alignment vertical="top"/>
    </xf>
    <xf numFmtId="0" fontId="1" fillId="0" borderId="0" xfId="0" applyFont="1"/>
    <xf numFmtId="0" fontId="3" fillId="2" borderId="1" xfId="0" applyFont="1" applyFill="1" applyBorder="1" applyAlignment="1">
      <alignment vertical="center"/>
    </xf>
    <xf numFmtId="0" fontId="4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workbookViewId="0">
      <selection activeCell="A9" sqref="A9"/>
    </sheetView>
  </sheetViews>
  <sheetFormatPr defaultRowHeight="14.4" x14ac:dyDescent="0.3"/>
  <cols>
    <col min="1" max="1" width="24" customWidth="1"/>
    <col min="2" max="2" width="12" customWidth="1"/>
    <col min="3" max="3" width="58" customWidth="1"/>
    <col min="4" max="4" width="24" customWidth="1"/>
  </cols>
  <sheetData>
    <row r="1" spans="1:4" ht="18" x14ac:dyDescent="0.35">
      <c r="A1" s="1" t="s">
        <v>0</v>
      </c>
    </row>
    <row r="2" spans="1:4" ht="26.1" customHeight="1" x14ac:dyDescent="0.3">
      <c r="A2" s="9" t="s">
        <v>1</v>
      </c>
      <c r="B2" s="10"/>
      <c r="C2" s="10"/>
      <c r="D2" s="10"/>
    </row>
    <row r="3" spans="1:4" ht="26.1" customHeight="1" x14ac:dyDescent="0.3">
      <c r="A3" s="9" t="s">
        <v>2</v>
      </c>
      <c r="B3" s="10"/>
      <c r="C3" s="10"/>
      <c r="D3" s="10"/>
    </row>
    <row r="5" spans="1:4" x14ac:dyDescent="0.3">
      <c r="A5" s="2" t="s">
        <v>3</v>
      </c>
      <c r="B5" s="2" t="s">
        <v>4</v>
      </c>
      <c r="C5" s="2" t="s">
        <v>5</v>
      </c>
      <c r="D5" s="2" t="s">
        <v>6</v>
      </c>
    </row>
    <row r="6" spans="1:4" x14ac:dyDescent="0.3">
      <c r="A6" s="3" t="s">
        <v>7</v>
      </c>
      <c r="B6" s="3" t="s">
        <v>8</v>
      </c>
      <c r="C6" s="3" t="s">
        <v>9</v>
      </c>
      <c r="D6" s="3" t="s">
        <v>10</v>
      </c>
    </row>
    <row r="7" spans="1:4" x14ac:dyDescent="0.3">
      <c r="A7" s="4" t="s">
        <v>11</v>
      </c>
      <c r="B7" s="4" t="s">
        <v>12</v>
      </c>
      <c r="C7" s="4" t="s">
        <v>13</v>
      </c>
      <c r="D7" s="4" t="s">
        <v>14</v>
      </c>
    </row>
    <row r="8" spans="1:4" x14ac:dyDescent="0.3">
      <c r="A8" s="3" t="s">
        <v>15</v>
      </c>
      <c r="B8" s="3" t="s">
        <v>16</v>
      </c>
      <c r="C8" s="3" t="s">
        <v>17</v>
      </c>
      <c r="D8" s="3" t="s">
        <v>18</v>
      </c>
    </row>
    <row r="9" spans="1:4" x14ac:dyDescent="0.3">
      <c r="A9" s="4" t="s">
        <v>19</v>
      </c>
      <c r="B9" s="4" t="s">
        <v>20</v>
      </c>
      <c r="C9" s="4" t="s">
        <v>21</v>
      </c>
      <c r="D9" s="4" t="s">
        <v>22</v>
      </c>
    </row>
    <row r="10" spans="1:4" x14ac:dyDescent="0.3">
      <c r="A10" s="3" t="s">
        <v>23</v>
      </c>
      <c r="B10" s="3" t="s">
        <v>24</v>
      </c>
      <c r="C10" s="3" t="s">
        <v>25</v>
      </c>
      <c r="D10" s="3" t="s">
        <v>26</v>
      </c>
    </row>
    <row r="11" spans="1:4" x14ac:dyDescent="0.3">
      <c r="A11" s="4" t="s">
        <v>27</v>
      </c>
      <c r="B11" s="4" t="s">
        <v>28</v>
      </c>
      <c r="C11" s="4" t="s">
        <v>29</v>
      </c>
      <c r="D11" s="4" t="s">
        <v>30</v>
      </c>
    </row>
  </sheetData>
  <mergeCells count="2">
    <mergeCell ref="A3:D3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"/>
  <sheetViews>
    <sheetView workbookViewId="0">
      <pane ySplit="3" topLeftCell="A4" activePane="bottomLeft" state="frozen"/>
      <selection pane="bottomLeft" activeCell="E17" sqref="E17"/>
    </sheetView>
  </sheetViews>
  <sheetFormatPr defaultRowHeight="14.4" x14ac:dyDescent="0.3"/>
  <cols>
    <col min="1" max="1" width="26" customWidth="1"/>
    <col min="2" max="2" width="15" customWidth="1"/>
    <col min="3" max="4" width="7" customWidth="1"/>
    <col min="5" max="5" width="8" customWidth="1"/>
    <col min="6" max="6" width="6" customWidth="1"/>
    <col min="7" max="7" width="30" customWidth="1"/>
    <col min="8" max="8" width="62" customWidth="1"/>
    <col min="9" max="9" width="11" customWidth="1"/>
  </cols>
  <sheetData>
    <row r="1" spans="1:9" ht="17.399999999999999" x14ac:dyDescent="0.35">
      <c r="A1" s="5" t="s">
        <v>32</v>
      </c>
    </row>
    <row r="2" spans="1:9" ht="27.9" customHeight="1" x14ac:dyDescent="0.3">
      <c r="A2" s="9" t="s">
        <v>33</v>
      </c>
      <c r="B2" s="10"/>
      <c r="C2" s="10"/>
      <c r="D2" s="10"/>
      <c r="E2" s="10"/>
      <c r="F2" s="10"/>
      <c r="G2" s="10"/>
      <c r="H2" s="10"/>
      <c r="I2" s="10"/>
    </row>
    <row r="3" spans="1:9" x14ac:dyDescent="0.3">
      <c r="A3" s="6" t="s">
        <v>34</v>
      </c>
      <c r="B3" s="6" t="s">
        <v>35</v>
      </c>
      <c r="C3" s="6" t="s">
        <v>36</v>
      </c>
      <c r="D3" s="6" t="s">
        <v>37</v>
      </c>
      <c r="E3" s="6" t="s">
        <v>38</v>
      </c>
      <c r="F3" s="6" t="s">
        <v>39</v>
      </c>
      <c r="G3" s="6" t="s">
        <v>40</v>
      </c>
      <c r="H3" s="6" t="s">
        <v>41</v>
      </c>
      <c r="I3" s="6" t="s">
        <v>42</v>
      </c>
    </row>
    <row r="4" spans="1:9" ht="39.6" x14ac:dyDescent="0.3">
      <c r="A4" s="3" t="s">
        <v>43</v>
      </c>
      <c r="B4" s="3" t="s">
        <v>44</v>
      </c>
      <c r="C4" s="3">
        <v>1</v>
      </c>
      <c r="D4" s="3">
        <v>1</v>
      </c>
      <c r="E4" s="3">
        <v>1</v>
      </c>
      <c r="F4" s="3" t="s">
        <v>45</v>
      </c>
      <c r="G4" s="7" t="s">
        <v>46</v>
      </c>
      <c r="H4" s="7" t="s">
        <v>47</v>
      </c>
      <c r="I4" s="7" t="s">
        <v>31</v>
      </c>
    </row>
    <row r="5" spans="1:9" ht="39.6" x14ac:dyDescent="0.3">
      <c r="A5" s="4" t="s">
        <v>48</v>
      </c>
      <c r="B5" s="4" t="s">
        <v>49</v>
      </c>
      <c r="C5" s="4">
        <v>2</v>
      </c>
      <c r="D5" s="4">
        <v>101</v>
      </c>
      <c r="E5" s="4">
        <v>100</v>
      </c>
      <c r="F5" s="4" t="s">
        <v>45</v>
      </c>
      <c r="G5" s="8" t="s">
        <v>50</v>
      </c>
      <c r="H5" s="8" t="s">
        <v>51</v>
      </c>
      <c r="I5" s="8" t="s">
        <v>31</v>
      </c>
    </row>
    <row r="6" spans="1:9" ht="39.6" x14ac:dyDescent="0.3">
      <c r="A6" s="3" t="s">
        <v>52</v>
      </c>
      <c r="B6" s="3" t="s">
        <v>53</v>
      </c>
      <c r="C6" s="3">
        <v>102</v>
      </c>
      <c r="D6" s="3">
        <v>109</v>
      </c>
      <c r="E6" s="3">
        <v>8</v>
      </c>
      <c r="F6" s="3" t="s">
        <v>45</v>
      </c>
      <c r="G6" s="7" t="s">
        <v>54</v>
      </c>
      <c r="H6" s="7" t="s">
        <v>55</v>
      </c>
      <c r="I6" s="7" t="s">
        <v>31</v>
      </c>
    </row>
    <row r="7" spans="1:9" ht="39.6" x14ac:dyDescent="0.3">
      <c r="A7" s="4" t="s">
        <v>56</v>
      </c>
      <c r="B7" s="4" t="s">
        <v>57</v>
      </c>
      <c r="C7" s="4">
        <v>110</v>
      </c>
      <c r="D7" s="4">
        <v>121</v>
      </c>
      <c r="E7" s="4">
        <v>12</v>
      </c>
      <c r="F7" s="4" t="s">
        <v>45</v>
      </c>
      <c r="G7" s="8" t="s">
        <v>58</v>
      </c>
      <c r="H7" s="8" t="s">
        <v>59</v>
      </c>
      <c r="I7" s="8" t="s">
        <v>31</v>
      </c>
    </row>
    <row r="8" spans="1:9" x14ac:dyDescent="0.3">
      <c r="A8" s="3" t="s">
        <v>60</v>
      </c>
      <c r="B8" s="3" t="s">
        <v>61</v>
      </c>
      <c r="C8" s="3">
        <v>122</v>
      </c>
      <c r="D8" s="3">
        <v>600</v>
      </c>
      <c r="E8" s="3">
        <v>479</v>
      </c>
      <c r="F8" s="3" t="s">
        <v>62</v>
      </c>
      <c r="G8" s="7" t="s">
        <v>63</v>
      </c>
      <c r="H8" s="7" t="s">
        <v>64</v>
      </c>
      <c r="I8" s="7" t="s">
        <v>31</v>
      </c>
    </row>
  </sheetData>
  <mergeCells count="1"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"/>
  <sheetViews>
    <sheetView workbookViewId="0">
      <pane ySplit="2" topLeftCell="A3" activePane="bottomLeft" state="frozen"/>
      <selection pane="bottomLeft" activeCell="H6" sqref="H6"/>
    </sheetView>
  </sheetViews>
  <sheetFormatPr defaultRowHeight="14.4" x14ac:dyDescent="0.3"/>
  <cols>
    <col min="1" max="1" width="26" customWidth="1"/>
    <col min="2" max="2" width="15" customWidth="1"/>
    <col min="3" max="4" width="7" customWidth="1"/>
    <col min="5" max="5" width="8" customWidth="1"/>
    <col min="6" max="6" width="6" customWidth="1"/>
    <col min="7" max="7" width="30" customWidth="1"/>
    <col min="8" max="8" width="62" customWidth="1"/>
    <col min="9" max="9" width="11" customWidth="1"/>
  </cols>
  <sheetData>
    <row r="1" spans="1:9" ht="17.399999999999999" x14ac:dyDescent="0.35">
      <c r="A1" s="5" t="s">
        <v>65</v>
      </c>
    </row>
    <row r="2" spans="1:9" x14ac:dyDescent="0.3">
      <c r="A2" s="6" t="s">
        <v>34</v>
      </c>
      <c r="B2" s="6" t="s">
        <v>35</v>
      </c>
      <c r="C2" s="6" t="s">
        <v>36</v>
      </c>
      <c r="D2" s="6" t="s">
        <v>37</v>
      </c>
      <c r="E2" s="6" t="s">
        <v>38</v>
      </c>
      <c r="F2" s="6" t="s">
        <v>39</v>
      </c>
      <c r="G2" s="6" t="s">
        <v>40</v>
      </c>
      <c r="H2" s="6" t="s">
        <v>41</v>
      </c>
      <c r="I2" s="6" t="s">
        <v>42</v>
      </c>
    </row>
    <row r="3" spans="1:9" ht="52.8" x14ac:dyDescent="0.3">
      <c r="A3" s="3" t="s">
        <v>43</v>
      </c>
      <c r="B3" s="3" t="s">
        <v>44</v>
      </c>
      <c r="C3" s="3">
        <v>1</v>
      </c>
      <c r="D3" s="3">
        <v>1</v>
      </c>
      <c r="E3" s="3">
        <v>1</v>
      </c>
      <c r="F3" s="3" t="s">
        <v>45</v>
      </c>
      <c r="G3" s="7" t="s">
        <v>66</v>
      </c>
      <c r="H3" s="7" t="s">
        <v>67</v>
      </c>
      <c r="I3" s="7" t="s">
        <v>68</v>
      </c>
    </row>
    <row r="4" spans="1:9" x14ac:dyDescent="0.3">
      <c r="A4" s="4" t="s">
        <v>69</v>
      </c>
      <c r="B4" s="4" t="s">
        <v>70</v>
      </c>
      <c r="C4" s="4">
        <v>2</v>
      </c>
      <c r="D4" s="4">
        <v>51</v>
      </c>
      <c r="E4" s="4">
        <v>50</v>
      </c>
      <c r="F4" s="4" t="s">
        <v>45</v>
      </c>
      <c r="G4" s="8" t="s">
        <v>71</v>
      </c>
      <c r="H4" s="8" t="s">
        <v>72</v>
      </c>
      <c r="I4" s="8" t="s">
        <v>73</v>
      </c>
    </row>
    <row r="5" spans="1:9" ht="52.8" x14ac:dyDescent="0.3">
      <c r="A5" s="3" t="s">
        <v>74</v>
      </c>
      <c r="B5" s="3" t="s">
        <v>75</v>
      </c>
      <c r="C5" s="3">
        <v>52</v>
      </c>
      <c r="D5" s="3">
        <v>53</v>
      </c>
      <c r="E5" s="3">
        <v>2</v>
      </c>
      <c r="F5" s="3" t="s">
        <v>45</v>
      </c>
      <c r="G5" s="7" t="s">
        <v>76</v>
      </c>
      <c r="H5" s="7" t="s">
        <v>77</v>
      </c>
      <c r="I5" s="7" t="s">
        <v>78</v>
      </c>
    </row>
    <row r="6" spans="1:9" ht="52.8" x14ac:dyDescent="0.3">
      <c r="A6" s="4" t="s">
        <v>79</v>
      </c>
      <c r="B6" s="4" t="s">
        <v>80</v>
      </c>
      <c r="C6" s="4">
        <v>54</v>
      </c>
      <c r="D6" s="4">
        <v>63</v>
      </c>
      <c r="E6" s="4">
        <v>10</v>
      </c>
      <c r="F6" s="4" t="s">
        <v>45</v>
      </c>
      <c r="G6" s="8" t="s">
        <v>81</v>
      </c>
      <c r="H6" s="8" t="s">
        <v>82</v>
      </c>
      <c r="I6" s="8" t="s">
        <v>83</v>
      </c>
    </row>
    <row r="7" spans="1:9" x14ac:dyDescent="0.3">
      <c r="A7" s="3" t="s">
        <v>60</v>
      </c>
      <c r="B7" s="3" t="s">
        <v>84</v>
      </c>
      <c r="C7" s="3">
        <v>64</v>
      </c>
      <c r="D7" s="3">
        <v>600</v>
      </c>
      <c r="E7" s="3">
        <v>537</v>
      </c>
      <c r="F7" s="3" t="s">
        <v>62</v>
      </c>
      <c r="G7" s="7" t="s">
        <v>63</v>
      </c>
      <c r="H7" s="7" t="s">
        <v>64</v>
      </c>
      <c r="I7" s="7" t="s">
        <v>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4"/>
  <sheetViews>
    <sheetView tabSelected="1" workbookViewId="0">
      <pane ySplit="3" topLeftCell="A13" activePane="bottomLeft" state="frozen"/>
      <selection pane="bottomLeft" activeCell="A21" sqref="A21:XFD21"/>
    </sheetView>
  </sheetViews>
  <sheetFormatPr defaultRowHeight="14.4" x14ac:dyDescent="0.3"/>
  <cols>
    <col min="1" max="1" width="26" customWidth="1"/>
    <col min="2" max="2" width="15" customWidth="1"/>
    <col min="3" max="4" width="7" customWidth="1"/>
    <col min="5" max="5" width="8" customWidth="1"/>
    <col min="6" max="6" width="10.33203125" customWidth="1"/>
    <col min="7" max="7" width="30" customWidth="1"/>
    <col min="8" max="8" width="62" customWidth="1"/>
    <col min="9" max="9" width="11" customWidth="1"/>
  </cols>
  <sheetData>
    <row r="1" spans="1:9" ht="17.399999999999999" x14ac:dyDescent="0.35">
      <c r="A1" s="5" t="s">
        <v>85</v>
      </c>
    </row>
    <row r="2" spans="1:9" ht="27.9" customHeight="1" x14ac:dyDescent="0.3">
      <c r="A2" s="9" t="s">
        <v>86</v>
      </c>
      <c r="B2" s="10"/>
      <c r="C2" s="10"/>
      <c r="D2" s="10"/>
      <c r="E2" s="10"/>
      <c r="F2" s="10"/>
      <c r="G2" s="10"/>
      <c r="H2" s="10"/>
      <c r="I2" s="10"/>
    </row>
    <row r="3" spans="1:9" x14ac:dyDescent="0.3">
      <c r="A3" s="6" t="s">
        <v>34</v>
      </c>
      <c r="B3" s="6" t="s">
        <v>35</v>
      </c>
      <c r="C3" s="6" t="s">
        <v>36</v>
      </c>
      <c r="D3" s="6" t="s">
        <v>37</v>
      </c>
      <c r="E3" s="6" t="s">
        <v>38</v>
      </c>
      <c r="F3" s="6" t="s">
        <v>39</v>
      </c>
      <c r="G3" s="6" t="s">
        <v>40</v>
      </c>
      <c r="H3" s="6" t="s">
        <v>41</v>
      </c>
      <c r="I3" s="6" t="s">
        <v>42</v>
      </c>
    </row>
    <row r="4" spans="1:9" x14ac:dyDescent="0.3">
      <c r="A4" s="3" t="s">
        <v>43</v>
      </c>
      <c r="B4" s="3" t="s">
        <v>44</v>
      </c>
      <c r="C4" s="3">
        <v>1</v>
      </c>
      <c r="D4" s="3">
        <v>1</v>
      </c>
      <c r="E4" s="3">
        <v>1</v>
      </c>
      <c r="F4" s="3" t="s">
        <v>45</v>
      </c>
      <c r="G4" s="7" t="s">
        <v>87</v>
      </c>
      <c r="H4" s="7" t="s">
        <v>88</v>
      </c>
      <c r="I4" s="7" t="s">
        <v>31</v>
      </c>
    </row>
    <row r="5" spans="1:9" ht="26.4" x14ac:dyDescent="0.3">
      <c r="A5" s="4" t="s">
        <v>89</v>
      </c>
      <c r="B5" s="4" t="s">
        <v>90</v>
      </c>
      <c r="C5" s="4">
        <v>2</v>
      </c>
      <c r="D5" s="4">
        <v>10</v>
      </c>
      <c r="E5" s="4">
        <v>9</v>
      </c>
      <c r="F5" s="4" t="s">
        <v>45</v>
      </c>
      <c r="G5" s="8" t="s">
        <v>91</v>
      </c>
      <c r="H5" s="8" t="s">
        <v>92</v>
      </c>
      <c r="I5" s="8" t="s">
        <v>93</v>
      </c>
    </row>
    <row r="6" spans="1:9" ht="26.4" x14ac:dyDescent="0.3">
      <c r="A6" s="3" t="s">
        <v>94</v>
      </c>
      <c r="B6" s="3" t="s">
        <v>70</v>
      </c>
      <c r="C6" s="3">
        <v>11</v>
      </c>
      <c r="D6" s="3">
        <v>60</v>
      </c>
      <c r="E6" s="3">
        <v>50</v>
      </c>
      <c r="F6" s="3" t="s">
        <v>45</v>
      </c>
      <c r="G6" s="7" t="s">
        <v>71</v>
      </c>
      <c r="H6" s="7" t="s">
        <v>95</v>
      </c>
      <c r="I6" s="7" t="s">
        <v>96</v>
      </c>
    </row>
    <row r="7" spans="1:9" x14ac:dyDescent="0.3">
      <c r="A7" s="4" t="s">
        <v>97</v>
      </c>
      <c r="B7" s="4" t="s">
        <v>98</v>
      </c>
      <c r="C7" s="4">
        <v>61</v>
      </c>
      <c r="D7" s="4">
        <v>87</v>
      </c>
      <c r="E7" s="4">
        <v>27</v>
      </c>
      <c r="F7" s="4" t="s">
        <v>62</v>
      </c>
      <c r="G7" s="8" t="s">
        <v>99</v>
      </c>
      <c r="H7" s="8" t="s">
        <v>100</v>
      </c>
      <c r="I7" s="8" t="s">
        <v>31</v>
      </c>
    </row>
    <row r="8" spans="1:9" ht="39.6" x14ac:dyDescent="0.3">
      <c r="A8" s="3" t="s">
        <v>101</v>
      </c>
      <c r="B8" s="3" t="s">
        <v>80</v>
      </c>
      <c r="C8" s="3">
        <v>88</v>
      </c>
      <c r="D8" s="3">
        <v>97</v>
      </c>
      <c r="E8" s="3">
        <v>10</v>
      </c>
      <c r="F8" s="3" t="s">
        <v>45</v>
      </c>
      <c r="G8" s="7" t="s">
        <v>102</v>
      </c>
      <c r="H8" s="7" t="s">
        <v>103</v>
      </c>
      <c r="I8" s="7" t="s">
        <v>104</v>
      </c>
    </row>
    <row r="9" spans="1:9" ht="39.6" x14ac:dyDescent="0.3">
      <c r="A9" s="4" t="s">
        <v>105</v>
      </c>
      <c r="B9" s="4" t="s">
        <v>106</v>
      </c>
      <c r="C9" s="4">
        <v>98</v>
      </c>
      <c r="D9" s="4">
        <v>100</v>
      </c>
      <c r="E9" s="4">
        <v>3</v>
      </c>
      <c r="F9" s="4" t="s">
        <v>45</v>
      </c>
      <c r="G9" s="8" t="s">
        <v>107</v>
      </c>
      <c r="H9" s="8" t="s">
        <v>108</v>
      </c>
      <c r="I9" s="8" t="s">
        <v>109</v>
      </c>
    </row>
    <row r="10" spans="1:9" ht="39.6" x14ac:dyDescent="0.3">
      <c r="A10" s="3" t="s">
        <v>110</v>
      </c>
      <c r="B10" s="3" t="s">
        <v>75</v>
      </c>
      <c r="C10" s="3">
        <v>101</v>
      </c>
      <c r="D10" s="3">
        <v>102</v>
      </c>
      <c r="E10" s="3">
        <v>2</v>
      </c>
      <c r="F10" s="3" t="s">
        <v>45</v>
      </c>
      <c r="G10" s="7" t="s">
        <v>111</v>
      </c>
      <c r="H10" s="7" t="s">
        <v>112</v>
      </c>
      <c r="I10" s="7" t="s">
        <v>113</v>
      </c>
    </row>
    <row r="11" spans="1:9" x14ac:dyDescent="0.3">
      <c r="A11" s="4" t="s">
        <v>114</v>
      </c>
      <c r="B11" s="4" t="s">
        <v>80</v>
      </c>
      <c r="C11" s="4">
        <v>103</v>
      </c>
      <c r="D11" s="4">
        <v>112</v>
      </c>
      <c r="E11" s="4">
        <v>10</v>
      </c>
      <c r="F11" s="4" t="s">
        <v>62</v>
      </c>
      <c r="G11" s="8" t="s">
        <v>115</v>
      </c>
      <c r="H11" s="8" t="s">
        <v>116</v>
      </c>
      <c r="I11" s="8" t="s">
        <v>31</v>
      </c>
    </row>
    <row r="12" spans="1:9" ht="26.4" x14ac:dyDescent="0.3">
      <c r="A12" s="3" t="s">
        <v>117</v>
      </c>
      <c r="B12" s="3" t="s">
        <v>75</v>
      </c>
      <c r="C12" s="3">
        <v>113</v>
      </c>
      <c r="D12" s="3">
        <v>114</v>
      </c>
      <c r="E12" s="3">
        <v>2</v>
      </c>
      <c r="F12" s="3" t="s">
        <v>62</v>
      </c>
      <c r="G12" s="7" t="s">
        <v>118</v>
      </c>
      <c r="H12" s="7" t="s">
        <v>119</v>
      </c>
      <c r="I12" s="7" t="s">
        <v>120</v>
      </c>
    </row>
    <row r="13" spans="1:9" ht="26.4" x14ac:dyDescent="0.3">
      <c r="A13" s="4" t="s">
        <v>121</v>
      </c>
      <c r="B13" s="4" t="s">
        <v>122</v>
      </c>
      <c r="C13" s="4">
        <v>115</v>
      </c>
      <c r="D13" s="4">
        <v>154</v>
      </c>
      <c r="E13" s="4">
        <v>40</v>
      </c>
      <c r="F13" s="4" t="s">
        <v>45</v>
      </c>
      <c r="G13" s="8" t="s">
        <v>71</v>
      </c>
      <c r="H13" s="8" t="s">
        <v>123</v>
      </c>
      <c r="I13" s="8" t="s">
        <v>124</v>
      </c>
    </row>
    <row r="14" spans="1:9" ht="26.4" x14ac:dyDescent="0.3">
      <c r="A14" s="3" t="s">
        <v>125</v>
      </c>
      <c r="B14" s="3" t="s">
        <v>122</v>
      </c>
      <c r="C14" s="3">
        <v>155</v>
      </c>
      <c r="D14" s="3">
        <v>194</v>
      </c>
      <c r="E14" s="3">
        <v>40</v>
      </c>
      <c r="F14" s="3" t="s">
        <v>62</v>
      </c>
      <c r="G14" s="7" t="s">
        <v>99</v>
      </c>
      <c r="H14" s="7" t="s">
        <v>126</v>
      </c>
      <c r="I14" s="7" t="s">
        <v>124</v>
      </c>
    </row>
    <row r="15" spans="1:9" ht="26.4" x14ac:dyDescent="0.3">
      <c r="A15" s="4" t="s">
        <v>127</v>
      </c>
      <c r="B15" s="4" t="s">
        <v>128</v>
      </c>
      <c r="C15" s="4">
        <v>195</v>
      </c>
      <c r="D15" s="4">
        <v>214</v>
      </c>
      <c r="E15" s="4">
        <v>20</v>
      </c>
      <c r="F15" s="4" t="s">
        <v>45</v>
      </c>
      <c r="G15" s="8" t="s">
        <v>71</v>
      </c>
      <c r="H15" s="8" t="s">
        <v>95</v>
      </c>
      <c r="I15" s="8" t="s">
        <v>124</v>
      </c>
    </row>
    <row r="16" spans="1:9" ht="26.4" x14ac:dyDescent="0.3">
      <c r="A16" s="3" t="s">
        <v>129</v>
      </c>
      <c r="B16" s="3" t="s">
        <v>75</v>
      </c>
      <c r="C16" s="3">
        <v>215</v>
      </c>
      <c r="D16" s="3">
        <v>216</v>
      </c>
      <c r="E16" s="3">
        <v>2</v>
      </c>
      <c r="F16" s="3" t="s">
        <v>45</v>
      </c>
      <c r="G16" s="7" t="s">
        <v>130</v>
      </c>
      <c r="H16" s="7" t="s">
        <v>131</v>
      </c>
      <c r="I16" s="7" t="s">
        <v>124</v>
      </c>
    </row>
    <row r="17" spans="1:9" ht="26.4" x14ac:dyDescent="0.3">
      <c r="A17" s="4" t="s">
        <v>132</v>
      </c>
      <c r="B17" s="4" t="s">
        <v>80</v>
      </c>
      <c r="C17" s="4">
        <v>217</v>
      </c>
      <c r="D17" s="4">
        <v>226</v>
      </c>
      <c r="E17" s="4">
        <v>10</v>
      </c>
      <c r="F17" s="4" t="s">
        <v>45</v>
      </c>
      <c r="G17" s="8" t="s">
        <v>133</v>
      </c>
      <c r="H17" s="8" t="s">
        <v>134</v>
      </c>
      <c r="I17" s="8" t="s">
        <v>124</v>
      </c>
    </row>
    <row r="18" spans="1:9" ht="26.4" x14ac:dyDescent="0.3">
      <c r="A18" s="3" t="s">
        <v>135</v>
      </c>
      <c r="B18" s="3" t="s">
        <v>80</v>
      </c>
      <c r="C18" s="3">
        <v>227</v>
      </c>
      <c r="D18" s="3">
        <v>236</v>
      </c>
      <c r="E18" s="3">
        <v>10</v>
      </c>
      <c r="F18" s="3" t="s">
        <v>62</v>
      </c>
      <c r="G18" s="7" t="s">
        <v>136</v>
      </c>
      <c r="H18" s="7" t="s">
        <v>137</v>
      </c>
      <c r="I18" s="7" t="s">
        <v>124</v>
      </c>
    </row>
    <row r="19" spans="1:9" ht="26.4" x14ac:dyDescent="0.3">
      <c r="A19" s="4" t="s">
        <v>138</v>
      </c>
      <c r="B19" s="4" t="s">
        <v>80</v>
      </c>
      <c r="C19" s="4">
        <v>237</v>
      </c>
      <c r="D19" s="4">
        <v>246</v>
      </c>
      <c r="E19" s="4">
        <v>10</v>
      </c>
      <c r="F19" s="4" t="s">
        <v>62</v>
      </c>
      <c r="G19" s="8" t="s">
        <v>136</v>
      </c>
      <c r="H19" s="8" t="s">
        <v>139</v>
      </c>
      <c r="I19" s="8" t="s">
        <v>124</v>
      </c>
    </row>
    <row r="20" spans="1:9" x14ac:dyDescent="0.3">
      <c r="A20" s="3" t="s">
        <v>140</v>
      </c>
      <c r="B20" s="3" t="s">
        <v>141</v>
      </c>
      <c r="C20" s="3">
        <v>247</v>
      </c>
      <c r="D20" s="3">
        <v>306</v>
      </c>
      <c r="E20" s="3">
        <v>60</v>
      </c>
      <c r="F20" s="3" t="s">
        <v>62</v>
      </c>
      <c r="G20" s="7" t="s">
        <v>99</v>
      </c>
      <c r="H20" s="7" t="s">
        <v>142</v>
      </c>
      <c r="I20" s="7" t="s">
        <v>31</v>
      </c>
    </row>
    <row r="21" spans="1:9" ht="26.4" x14ac:dyDescent="0.3">
      <c r="A21" s="4" t="s">
        <v>143</v>
      </c>
      <c r="B21" s="4" t="s">
        <v>122</v>
      </c>
      <c r="C21" s="4">
        <v>307</v>
      </c>
      <c r="D21" s="4">
        <v>346</v>
      </c>
      <c r="E21" s="4">
        <v>40</v>
      </c>
      <c r="F21" s="4" t="s">
        <v>144</v>
      </c>
      <c r="G21" s="8" t="s">
        <v>145</v>
      </c>
      <c r="H21" s="8" t="s">
        <v>146</v>
      </c>
      <c r="I21" s="8" t="s">
        <v>147</v>
      </c>
    </row>
    <row r="22" spans="1:9" ht="26.4" x14ac:dyDescent="0.3">
      <c r="A22" s="3" t="s">
        <v>148</v>
      </c>
      <c r="B22" s="3" t="s">
        <v>122</v>
      </c>
      <c r="C22" s="3">
        <v>347</v>
      </c>
      <c r="D22" s="3">
        <v>386</v>
      </c>
      <c r="E22" s="3">
        <v>40</v>
      </c>
      <c r="F22" s="3" t="s">
        <v>62</v>
      </c>
      <c r="G22" s="7" t="s">
        <v>99</v>
      </c>
      <c r="H22" s="7" t="s">
        <v>149</v>
      </c>
      <c r="I22" s="7" t="s">
        <v>147</v>
      </c>
    </row>
    <row r="23" spans="1:9" ht="26.4" x14ac:dyDescent="0.3">
      <c r="A23" s="4" t="s">
        <v>150</v>
      </c>
      <c r="B23" s="4" t="s">
        <v>128</v>
      </c>
      <c r="C23" s="4">
        <v>387</v>
      </c>
      <c r="D23" s="4">
        <v>406</v>
      </c>
      <c r="E23" s="4">
        <v>20</v>
      </c>
      <c r="F23" s="4" t="s">
        <v>144</v>
      </c>
      <c r="G23" s="8" t="s">
        <v>151</v>
      </c>
      <c r="H23" s="8" t="s">
        <v>152</v>
      </c>
      <c r="I23" s="8" t="s">
        <v>147</v>
      </c>
    </row>
    <row r="24" spans="1:9" ht="26.4" x14ac:dyDescent="0.3">
      <c r="A24" s="3" t="s">
        <v>153</v>
      </c>
      <c r="B24" s="3" t="s">
        <v>75</v>
      </c>
      <c r="C24" s="3">
        <v>407</v>
      </c>
      <c r="D24" s="3">
        <v>408</v>
      </c>
      <c r="E24" s="3">
        <v>2</v>
      </c>
      <c r="F24" s="3" t="s">
        <v>144</v>
      </c>
      <c r="G24" s="7" t="s">
        <v>130</v>
      </c>
      <c r="H24" s="7" t="s">
        <v>152</v>
      </c>
      <c r="I24" s="7" t="s">
        <v>147</v>
      </c>
    </row>
    <row r="25" spans="1:9" ht="26.4" x14ac:dyDescent="0.3">
      <c r="A25" s="4" t="s">
        <v>154</v>
      </c>
      <c r="B25" s="4" t="s">
        <v>80</v>
      </c>
      <c r="C25" s="4">
        <v>409</v>
      </c>
      <c r="D25" s="4">
        <v>418</v>
      </c>
      <c r="E25" s="4">
        <v>10</v>
      </c>
      <c r="F25" s="4" t="s">
        <v>144</v>
      </c>
      <c r="G25" s="8" t="s">
        <v>155</v>
      </c>
      <c r="H25" s="8" t="s">
        <v>152</v>
      </c>
      <c r="I25" s="8" t="s">
        <v>147</v>
      </c>
    </row>
    <row r="26" spans="1:9" ht="26.4" x14ac:dyDescent="0.3">
      <c r="A26" s="3" t="s">
        <v>156</v>
      </c>
      <c r="B26" s="3" t="s">
        <v>80</v>
      </c>
      <c r="C26" s="3">
        <v>419</v>
      </c>
      <c r="D26" s="3">
        <v>428</v>
      </c>
      <c r="E26" s="3">
        <v>10</v>
      </c>
      <c r="F26" s="3" t="s">
        <v>144</v>
      </c>
      <c r="G26" s="7" t="s">
        <v>136</v>
      </c>
      <c r="H26" s="7" t="s">
        <v>157</v>
      </c>
      <c r="I26" s="7" t="s">
        <v>147</v>
      </c>
    </row>
    <row r="27" spans="1:9" ht="26.4" x14ac:dyDescent="0.3">
      <c r="A27" s="4" t="s">
        <v>158</v>
      </c>
      <c r="B27" s="4" t="s">
        <v>80</v>
      </c>
      <c r="C27" s="4">
        <v>429</v>
      </c>
      <c r="D27" s="4">
        <v>438</v>
      </c>
      <c r="E27" s="4">
        <v>10</v>
      </c>
      <c r="F27" s="4" t="s">
        <v>144</v>
      </c>
      <c r="G27" s="8" t="s">
        <v>136</v>
      </c>
      <c r="H27" s="8" t="s">
        <v>159</v>
      </c>
      <c r="I27" s="8" t="s">
        <v>147</v>
      </c>
    </row>
    <row r="28" spans="1:9" x14ac:dyDescent="0.3">
      <c r="A28" s="3" t="s">
        <v>160</v>
      </c>
      <c r="B28" s="3" t="s">
        <v>141</v>
      </c>
      <c r="C28" s="3">
        <v>439</v>
      </c>
      <c r="D28" s="3">
        <v>498</v>
      </c>
      <c r="E28" s="3">
        <v>60</v>
      </c>
      <c r="F28" s="3" t="s">
        <v>62</v>
      </c>
      <c r="G28" s="7" t="s">
        <v>99</v>
      </c>
      <c r="H28" s="7" t="s">
        <v>142</v>
      </c>
      <c r="I28" s="7" t="s">
        <v>31</v>
      </c>
    </row>
    <row r="29" spans="1:9" ht="39.6" x14ac:dyDescent="0.3">
      <c r="A29" s="4" t="s">
        <v>161</v>
      </c>
      <c r="B29" s="4" t="s">
        <v>44</v>
      </c>
      <c r="C29" s="4">
        <v>499</v>
      </c>
      <c r="D29" s="4">
        <v>499</v>
      </c>
      <c r="E29" s="4">
        <v>1</v>
      </c>
      <c r="F29" s="4" t="s">
        <v>45</v>
      </c>
      <c r="G29" s="8" t="s">
        <v>162</v>
      </c>
      <c r="H29" s="8" t="s">
        <v>163</v>
      </c>
      <c r="I29" s="8" t="s">
        <v>164</v>
      </c>
    </row>
    <row r="30" spans="1:9" ht="26.4" x14ac:dyDescent="0.3">
      <c r="A30" s="3" t="s">
        <v>165</v>
      </c>
      <c r="B30" s="3" t="s">
        <v>166</v>
      </c>
      <c r="C30" s="3">
        <v>500</v>
      </c>
      <c r="D30" s="3">
        <v>507</v>
      </c>
      <c r="E30" s="3">
        <v>8</v>
      </c>
      <c r="F30" s="3" t="s">
        <v>45</v>
      </c>
      <c r="G30" s="7" t="s">
        <v>167</v>
      </c>
      <c r="H30" s="7" t="s">
        <v>168</v>
      </c>
      <c r="I30" s="7" t="s">
        <v>169</v>
      </c>
    </row>
    <row r="31" spans="1:9" ht="39.6" x14ac:dyDescent="0.3">
      <c r="A31" s="4" t="s">
        <v>170</v>
      </c>
      <c r="B31" s="4" t="s">
        <v>166</v>
      </c>
      <c r="C31" s="4">
        <v>508</v>
      </c>
      <c r="D31" s="4">
        <v>515</v>
      </c>
      <c r="E31" s="4">
        <v>8</v>
      </c>
      <c r="F31" s="4" t="s">
        <v>45</v>
      </c>
      <c r="G31" s="8" t="s">
        <v>171</v>
      </c>
      <c r="H31" s="8" t="s">
        <v>172</v>
      </c>
      <c r="I31" s="8" t="s">
        <v>173</v>
      </c>
    </row>
    <row r="32" spans="1:9" ht="39.6" x14ac:dyDescent="0.3">
      <c r="A32" s="3" t="s">
        <v>79</v>
      </c>
      <c r="B32" s="3" t="s">
        <v>80</v>
      </c>
      <c r="C32" s="3">
        <v>516</v>
      </c>
      <c r="D32" s="3">
        <v>525</v>
      </c>
      <c r="E32" s="3">
        <v>10</v>
      </c>
      <c r="F32" s="3" t="s">
        <v>45</v>
      </c>
      <c r="G32" s="7" t="e">
        <f>contra header BD Allstate id</f>
        <v>#NAME?</v>
      </c>
      <c r="H32" s="7" t="s">
        <v>174</v>
      </c>
      <c r="I32" s="7" t="s">
        <v>175</v>
      </c>
    </row>
    <row r="33" spans="1:9" ht="39.6" x14ac:dyDescent="0.3">
      <c r="A33" s="4" t="s">
        <v>176</v>
      </c>
      <c r="B33" s="4" t="s">
        <v>80</v>
      </c>
      <c r="C33" s="4">
        <v>526</v>
      </c>
      <c r="D33" s="4">
        <v>535</v>
      </c>
      <c r="E33" s="4">
        <v>10</v>
      </c>
      <c r="F33" s="4" t="s">
        <v>45</v>
      </c>
      <c r="G33" s="8" t="s">
        <v>177</v>
      </c>
      <c r="H33" s="8" t="s">
        <v>178</v>
      </c>
      <c r="I33" s="8" t="s">
        <v>179</v>
      </c>
    </row>
    <row r="34" spans="1:9" x14ac:dyDescent="0.3">
      <c r="A34" s="3" t="s">
        <v>60</v>
      </c>
      <c r="B34" s="3" t="s">
        <v>180</v>
      </c>
      <c r="C34" s="3">
        <v>536</v>
      </c>
      <c r="D34" s="3">
        <v>600</v>
      </c>
      <c r="E34" s="3">
        <v>65</v>
      </c>
      <c r="F34" s="3" t="s">
        <v>62</v>
      </c>
      <c r="G34" s="7" t="s">
        <v>63</v>
      </c>
      <c r="H34" s="7" t="s">
        <v>64</v>
      </c>
      <c r="I34" s="7" t="s">
        <v>31</v>
      </c>
    </row>
  </sheetData>
  <mergeCells count="1"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2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26" customWidth="1"/>
    <col min="2" max="2" width="15" customWidth="1"/>
    <col min="3" max="4" width="7" customWidth="1"/>
    <col min="5" max="5" width="8" customWidth="1"/>
    <col min="6" max="6" width="6" customWidth="1"/>
    <col min="7" max="7" width="30" customWidth="1"/>
    <col min="8" max="8" width="62" customWidth="1"/>
    <col min="9" max="9" width="11" customWidth="1"/>
  </cols>
  <sheetData>
    <row r="1" spans="1:9" ht="17.399999999999999" x14ac:dyDescent="0.35">
      <c r="A1" s="5" t="s">
        <v>181</v>
      </c>
    </row>
    <row r="2" spans="1:9" x14ac:dyDescent="0.3">
      <c r="A2" s="6" t="s">
        <v>34</v>
      </c>
      <c r="B2" s="6" t="s">
        <v>35</v>
      </c>
      <c r="C2" s="6" t="s">
        <v>36</v>
      </c>
      <c r="D2" s="6" t="s">
        <v>37</v>
      </c>
      <c r="E2" s="6" t="s">
        <v>38</v>
      </c>
      <c r="F2" s="6" t="s">
        <v>39</v>
      </c>
      <c r="G2" s="6" t="s">
        <v>40</v>
      </c>
      <c r="H2" s="6" t="s">
        <v>41</v>
      </c>
      <c r="I2" s="6" t="s">
        <v>42</v>
      </c>
    </row>
    <row r="3" spans="1:9" x14ac:dyDescent="0.3">
      <c r="A3" s="3" t="s">
        <v>43</v>
      </c>
      <c r="B3" s="3" t="s">
        <v>44</v>
      </c>
      <c r="C3" s="3">
        <v>1</v>
      </c>
      <c r="D3" s="3">
        <v>1</v>
      </c>
      <c r="E3" s="3">
        <v>1</v>
      </c>
      <c r="F3" s="3" t="s">
        <v>45</v>
      </c>
      <c r="G3" s="7" t="s">
        <v>182</v>
      </c>
      <c r="H3" s="7" t="s">
        <v>183</v>
      </c>
      <c r="I3" s="7" t="s">
        <v>31</v>
      </c>
    </row>
    <row r="4" spans="1:9" ht="52.8" x14ac:dyDescent="0.3">
      <c r="A4" s="4" t="s">
        <v>184</v>
      </c>
      <c r="B4" s="4" t="s">
        <v>75</v>
      </c>
      <c r="C4" s="4">
        <v>2</v>
      </c>
      <c r="D4" s="4">
        <v>3</v>
      </c>
      <c r="E4" s="4">
        <v>2</v>
      </c>
      <c r="F4" s="4" t="s">
        <v>45</v>
      </c>
      <c r="G4" s="8" t="s">
        <v>185</v>
      </c>
      <c r="H4" s="8" t="s">
        <v>186</v>
      </c>
      <c r="I4" s="8" t="s">
        <v>187</v>
      </c>
    </row>
    <row r="5" spans="1:9" ht="26.4" x14ac:dyDescent="0.3">
      <c r="A5" s="3" t="s">
        <v>188</v>
      </c>
      <c r="B5" s="3" t="s">
        <v>90</v>
      </c>
      <c r="C5" s="3">
        <v>4</v>
      </c>
      <c r="D5" s="3">
        <v>12</v>
      </c>
      <c r="E5" s="3">
        <v>9</v>
      </c>
      <c r="F5" s="3" t="s">
        <v>45</v>
      </c>
      <c r="G5" s="7" t="s">
        <v>91</v>
      </c>
      <c r="H5" s="7" t="s">
        <v>189</v>
      </c>
      <c r="I5" s="7" t="s">
        <v>190</v>
      </c>
    </row>
    <row r="6" spans="1:9" x14ac:dyDescent="0.3">
      <c r="A6" s="4" t="s">
        <v>191</v>
      </c>
      <c r="B6" s="4" t="s">
        <v>128</v>
      </c>
      <c r="C6" s="4">
        <v>13</v>
      </c>
      <c r="D6" s="4">
        <v>32</v>
      </c>
      <c r="E6" s="4">
        <v>20</v>
      </c>
      <c r="F6" s="4" t="s">
        <v>45</v>
      </c>
      <c r="G6" s="8" t="s">
        <v>192</v>
      </c>
      <c r="H6" s="8" t="s">
        <v>95</v>
      </c>
      <c r="I6" s="8" t="s">
        <v>193</v>
      </c>
    </row>
    <row r="7" spans="1:9" x14ac:dyDescent="0.3">
      <c r="A7" s="3" t="s">
        <v>194</v>
      </c>
      <c r="B7" s="3" t="s">
        <v>195</v>
      </c>
      <c r="C7" s="3">
        <v>33</v>
      </c>
      <c r="D7" s="3">
        <v>57</v>
      </c>
      <c r="E7" s="3">
        <v>25</v>
      </c>
      <c r="F7" s="3" t="s">
        <v>62</v>
      </c>
      <c r="G7" s="7" t="s">
        <v>99</v>
      </c>
      <c r="H7" s="7" t="s">
        <v>196</v>
      </c>
      <c r="I7" s="7" t="s">
        <v>31</v>
      </c>
    </row>
    <row r="8" spans="1:9" x14ac:dyDescent="0.3">
      <c r="A8" s="4" t="s">
        <v>197</v>
      </c>
      <c r="B8" s="4" t="s">
        <v>198</v>
      </c>
      <c r="C8" s="4">
        <v>58</v>
      </c>
      <c r="D8" s="4">
        <v>87</v>
      </c>
      <c r="E8" s="4">
        <v>30</v>
      </c>
      <c r="F8" s="4" t="s">
        <v>45</v>
      </c>
      <c r="G8" s="8" t="s">
        <v>192</v>
      </c>
      <c r="H8" s="8" t="s">
        <v>95</v>
      </c>
      <c r="I8" s="8" t="s">
        <v>199</v>
      </c>
    </row>
    <row r="9" spans="1:9" ht="26.4" x14ac:dyDescent="0.3">
      <c r="A9" s="3" t="s">
        <v>200</v>
      </c>
      <c r="B9" s="3" t="s">
        <v>166</v>
      </c>
      <c r="C9" s="3">
        <v>88</v>
      </c>
      <c r="D9" s="3">
        <v>95</v>
      </c>
      <c r="E9" s="3">
        <v>8</v>
      </c>
      <c r="F9" s="3" t="s">
        <v>62</v>
      </c>
      <c r="G9" s="7" t="s">
        <v>201</v>
      </c>
      <c r="H9" s="7" t="s">
        <v>202</v>
      </c>
      <c r="I9" s="7" t="s">
        <v>203</v>
      </c>
    </row>
    <row r="10" spans="1:9" x14ac:dyDescent="0.3">
      <c r="A10" s="4" t="s">
        <v>204</v>
      </c>
      <c r="B10" s="4" t="s">
        <v>44</v>
      </c>
      <c r="C10" s="4">
        <v>96</v>
      </c>
      <c r="D10" s="4">
        <v>96</v>
      </c>
      <c r="E10" s="4">
        <v>1</v>
      </c>
      <c r="F10" s="4" t="s">
        <v>62</v>
      </c>
      <c r="G10" s="8" t="s">
        <v>205</v>
      </c>
      <c r="H10" s="8" t="s">
        <v>206</v>
      </c>
      <c r="I10" s="8" t="s">
        <v>207</v>
      </c>
    </row>
    <row r="11" spans="1:9" ht="26.4" x14ac:dyDescent="0.3">
      <c r="A11" s="3" t="s">
        <v>208</v>
      </c>
      <c r="B11" s="3" t="s">
        <v>122</v>
      </c>
      <c r="C11" s="3">
        <v>97</v>
      </c>
      <c r="D11" s="3">
        <v>136</v>
      </c>
      <c r="E11" s="3">
        <v>40</v>
      </c>
      <c r="F11" s="3" t="s">
        <v>209</v>
      </c>
      <c r="G11" s="7" t="s">
        <v>210</v>
      </c>
      <c r="H11" s="7" t="s">
        <v>211</v>
      </c>
      <c r="I11" s="7" t="s">
        <v>212</v>
      </c>
    </row>
    <row r="12" spans="1:9" x14ac:dyDescent="0.3">
      <c r="A12" s="4" t="s">
        <v>213</v>
      </c>
      <c r="B12" s="4" t="s">
        <v>122</v>
      </c>
      <c r="C12" s="4">
        <v>137</v>
      </c>
      <c r="D12" s="4">
        <v>176</v>
      </c>
      <c r="E12" s="4">
        <v>40</v>
      </c>
      <c r="F12" s="4" t="s">
        <v>62</v>
      </c>
      <c r="G12" s="8" t="s">
        <v>99</v>
      </c>
      <c r="H12" s="8" t="s">
        <v>214</v>
      </c>
      <c r="I12" s="8" t="s">
        <v>212</v>
      </c>
    </row>
    <row r="13" spans="1:9" x14ac:dyDescent="0.3">
      <c r="A13" s="3" t="s">
        <v>215</v>
      </c>
      <c r="B13" s="3" t="s">
        <v>122</v>
      </c>
      <c r="C13" s="3">
        <v>177</v>
      </c>
      <c r="D13" s="3">
        <v>216</v>
      </c>
      <c r="E13" s="3">
        <v>40</v>
      </c>
      <c r="F13" s="3" t="s">
        <v>62</v>
      </c>
      <c r="G13" s="7" t="s">
        <v>99</v>
      </c>
      <c r="H13" s="7" t="s">
        <v>216</v>
      </c>
      <c r="I13" s="7" t="s">
        <v>212</v>
      </c>
    </row>
    <row r="14" spans="1:9" x14ac:dyDescent="0.3">
      <c r="A14" s="4" t="s">
        <v>217</v>
      </c>
      <c r="B14" s="4" t="s">
        <v>128</v>
      </c>
      <c r="C14" s="4">
        <v>217</v>
      </c>
      <c r="D14" s="4">
        <v>236</v>
      </c>
      <c r="E14" s="4">
        <v>20</v>
      </c>
      <c r="F14" s="4" t="s">
        <v>209</v>
      </c>
      <c r="G14" s="8" t="s">
        <v>218</v>
      </c>
      <c r="H14" s="8" t="s">
        <v>219</v>
      </c>
      <c r="I14" s="8" t="s">
        <v>212</v>
      </c>
    </row>
    <row r="15" spans="1:9" ht="26.4" x14ac:dyDescent="0.3">
      <c r="A15" s="3" t="s">
        <v>220</v>
      </c>
      <c r="B15" s="3" t="s">
        <v>75</v>
      </c>
      <c r="C15" s="3">
        <v>237</v>
      </c>
      <c r="D15" s="3">
        <v>238</v>
      </c>
      <c r="E15" s="3">
        <v>2</v>
      </c>
      <c r="F15" s="3" t="s">
        <v>209</v>
      </c>
      <c r="G15" s="7" t="s">
        <v>221</v>
      </c>
      <c r="H15" s="7" t="s">
        <v>222</v>
      </c>
      <c r="I15" s="7" t="s">
        <v>212</v>
      </c>
    </row>
    <row r="16" spans="1:9" ht="26.4" x14ac:dyDescent="0.3">
      <c r="A16" s="4" t="s">
        <v>223</v>
      </c>
      <c r="B16" s="4" t="s">
        <v>80</v>
      </c>
      <c r="C16" s="4">
        <v>239</v>
      </c>
      <c r="D16" s="4">
        <v>248</v>
      </c>
      <c r="E16" s="4">
        <v>10</v>
      </c>
      <c r="F16" s="4" t="s">
        <v>209</v>
      </c>
      <c r="G16" s="8" t="s">
        <v>224</v>
      </c>
      <c r="H16" s="8" t="s">
        <v>222</v>
      </c>
      <c r="I16" s="8" t="s">
        <v>212</v>
      </c>
    </row>
    <row r="17" spans="1:9" x14ac:dyDescent="0.3">
      <c r="A17" s="3" t="s">
        <v>225</v>
      </c>
      <c r="B17" s="3" t="s">
        <v>80</v>
      </c>
      <c r="C17" s="3">
        <v>249</v>
      </c>
      <c r="D17" s="3">
        <v>258</v>
      </c>
      <c r="E17" s="3">
        <v>10</v>
      </c>
      <c r="F17" s="3" t="s">
        <v>62</v>
      </c>
      <c r="G17" s="7" t="s">
        <v>136</v>
      </c>
      <c r="H17" s="7" t="s">
        <v>196</v>
      </c>
      <c r="I17" s="7" t="s">
        <v>212</v>
      </c>
    </row>
    <row r="18" spans="1:9" x14ac:dyDescent="0.3">
      <c r="A18" s="4" t="s">
        <v>226</v>
      </c>
      <c r="B18" s="4" t="s">
        <v>80</v>
      </c>
      <c r="C18" s="4">
        <v>259</v>
      </c>
      <c r="D18" s="4">
        <v>268</v>
      </c>
      <c r="E18" s="4">
        <v>10</v>
      </c>
      <c r="F18" s="4" t="s">
        <v>62</v>
      </c>
      <c r="G18" s="8" t="s">
        <v>136</v>
      </c>
      <c r="H18" s="8" t="s">
        <v>196</v>
      </c>
      <c r="I18" s="8" t="s">
        <v>212</v>
      </c>
    </row>
    <row r="19" spans="1:9" x14ac:dyDescent="0.3">
      <c r="A19" s="3" t="s">
        <v>227</v>
      </c>
      <c r="B19" s="3" t="s">
        <v>141</v>
      </c>
      <c r="C19" s="3">
        <v>269</v>
      </c>
      <c r="D19" s="3">
        <v>328</v>
      </c>
      <c r="E19" s="3">
        <v>60</v>
      </c>
      <c r="F19" s="3" t="s">
        <v>62</v>
      </c>
      <c r="G19" s="7" t="s">
        <v>99</v>
      </c>
      <c r="H19" s="7" t="s">
        <v>142</v>
      </c>
      <c r="I19" s="7" t="s">
        <v>31</v>
      </c>
    </row>
    <row r="20" spans="1:9" x14ac:dyDescent="0.3">
      <c r="A20" s="4" t="s">
        <v>114</v>
      </c>
      <c r="B20" s="4" t="s">
        <v>80</v>
      </c>
      <c r="C20" s="4">
        <v>329</v>
      </c>
      <c r="D20" s="4">
        <v>338</v>
      </c>
      <c r="E20" s="4">
        <v>10</v>
      </c>
      <c r="F20" s="4" t="s">
        <v>62</v>
      </c>
      <c r="G20" s="8" t="s">
        <v>115</v>
      </c>
      <c r="H20" s="8" t="s">
        <v>142</v>
      </c>
      <c r="I20" s="8" t="s">
        <v>31</v>
      </c>
    </row>
    <row r="21" spans="1:9" ht="39.6" x14ac:dyDescent="0.3">
      <c r="A21" s="3" t="s">
        <v>228</v>
      </c>
      <c r="B21" s="3" t="s">
        <v>229</v>
      </c>
      <c r="C21" s="3">
        <v>339</v>
      </c>
      <c r="D21" s="3">
        <v>373</v>
      </c>
      <c r="E21" s="3">
        <v>35</v>
      </c>
      <c r="F21" s="3" t="s">
        <v>62</v>
      </c>
      <c r="G21" s="7" t="s">
        <v>230</v>
      </c>
      <c r="H21" s="7" t="s">
        <v>231</v>
      </c>
      <c r="I21" s="7" t="s">
        <v>232</v>
      </c>
    </row>
    <row r="22" spans="1:9" x14ac:dyDescent="0.3">
      <c r="A22" s="4" t="s">
        <v>60</v>
      </c>
      <c r="B22" s="4" t="s">
        <v>233</v>
      </c>
      <c r="C22" s="4">
        <v>374</v>
      </c>
      <c r="D22" s="4">
        <v>600</v>
      </c>
      <c r="E22" s="4">
        <v>227</v>
      </c>
      <c r="F22" s="4" t="s">
        <v>62</v>
      </c>
      <c r="G22" s="8" t="s">
        <v>63</v>
      </c>
      <c r="H22" s="8" t="s">
        <v>64</v>
      </c>
      <c r="I22" s="8" t="s">
        <v>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4"/>
  <sheetViews>
    <sheetView workbookViewId="0">
      <pane ySplit="2" topLeftCell="A3" activePane="bottomLeft" state="frozen"/>
      <selection pane="bottomLeft" activeCell="G1" sqref="G1"/>
    </sheetView>
  </sheetViews>
  <sheetFormatPr defaultRowHeight="14.4" x14ac:dyDescent="0.3"/>
  <cols>
    <col min="1" max="1" width="26" customWidth="1"/>
    <col min="2" max="2" width="15" customWidth="1"/>
    <col min="3" max="4" width="7" customWidth="1"/>
    <col min="5" max="5" width="8" customWidth="1"/>
    <col min="6" max="6" width="6" customWidth="1"/>
    <col min="7" max="7" width="30" customWidth="1"/>
    <col min="8" max="8" width="62" customWidth="1"/>
    <col min="9" max="9" width="11" customWidth="1"/>
  </cols>
  <sheetData>
    <row r="1" spans="1:9" ht="17.399999999999999" x14ac:dyDescent="0.35">
      <c r="A1" s="5" t="s">
        <v>234</v>
      </c>
    </row>
    <row r="2" spans="1:9" x14ac:dyDescent="0.3">
      <c r="A2" s="6" t="s">
        <v>34</v>
      </c>
      <c r="B2" s="6" t="s">
        <v>35</v>
      </c>
      <c r="C2" s="6" t="s">
        <v>36</v>
      </c>
      <c r="D2" s="6" t="s">
        <v>37</v>
      </c>
      <c r="E2" s="6" t="s">
        <v>38</v>
      </c>
      <c r="F2" s="6" t="s">
        <v>39</v>
      </c>
      <c r="G2" s="6" t="s">
        <v>40</v>
      </c>
      <c r="H2" s="6" t="s">
        <v>41</v>
      </c>
      <c r="I2" s="6" t="s">
        <v>42</v>
      </c>
    </row>
    <row r="3" spans="1:9" x14ac:dyDescent="0.3">
      <c r="A3" s="3" t="s">
        <v>43</v>
      </c>
      <c r="B3" s="3" t="s">
        <v>44</v>
      </c>
      <c r="C3" s="3">
        <v>1</v>
      </c>
      <c r="D3" s="3">
        <v>1</v>
      </c>
      <c r="E3" s="3">
        <v>1</v>
      </c>
      <c r="F3" s="3" t="s">
        <v>45</v>
      </c>
      <c r="G3" s="7" t="s">
        <v>182</v>
      </c>
      <c r="H3" s="7" t="s">
        <v>235</v>
      </c>
      <c r="I3" s="7" t="s">
        <v>31</v>
      </c>
    </row>
    <row r="4" spans="1:9" ht="26.4" x14ac:dyDescent="0.3">
      <c r="A4" s="4" t="s">
        <v>184</v>
      </c>
      <c r="B4" s="4" t="s">
        <v>75</v>
      </c>
      <c r="C4" s="4">
        <v>2</v>
      </c>
      <c r="D4" s="4">
        <v>3</v>
      </c>
      <c r="E4" s="4">
        <v>2</v>
      </c>
      <c r="F4" s="4" t="s">
        <v>45</v>
      </c>
      <c r="G4" s="8" t="s">
        <v>236</v>
      </c>
      <c r="H4" s="8" t="s">
        <v>237</v>
      </c>
      <c r="I4" s="8" t="s">
        <v>31</v>
      </c>
    </row>
    <row r="5" spans="1:9" ht="26.4" x14ac:dyDescent="0.3">
      <c r="A5" s="3" t="s">
        <v>188</v>
      </c>
      <c r="B5" s="3" t="s">
        <v>90</v>
      </c>
      <c r="C5" s="3">
        <v>4</v>
      </c>
      <c r="D5" s="3">
        <v>12</v>
      </c>
      <c r="E5" s="3">
        <v>9</v>
      </c>
      <c r="F5" s="3" t="s">
        <v>45</v>
      </c>
      <c r="G5" s="7" t="s">
        <v>282</v>
      </c>
      <c r="H5" s="7" t="s">
        <v>238</v>
      </c>
      <c r="I5" s="7" t="s">
        <v>239</v>
      </c>
    </row>
    <row r="6" spans="1:9" x14ac:dyDescent="0.3">
      <c r="A6" s="4" t="s">
        <v>240</v>
      </c>
      <c r="B6" s="4" t="s">
        <v>44</v>
      </c>
      <c r="C6" s="4">
        <v>13</v>
      </c>
      <c r="D6" s="4">
        <v>13</v>
      </c>
      <c r="E6" s="4">
        <v>1</v>
      </c>
      <c r="F6" s="4" t="s">
        <v>45</v>
      </c>
      <c r="G6" s="8" t="s">
        <v>241</v>
      </c>
      <c r="H6" s="8" t="s">
        <v>242</v>
      </c>
      <c r="I6" s="8" t="s">
        <v>243</v>
      </c>
    </row>
    <row r="7" spans="1:9" x14ac:dyDescent="0.3">
      <c r="A7" s="3" t="s">
        <v>101</v>
      </c>
      <c r="B7" s="3" t="s">
        <v>80</v>
      </c>
      <c r="C7" s="3">
        <v>14</v>
      </c>
      <c r="D7" s="3">
        <v>23</v>
      </c>
      <c r="E7" s="3">
        <v>10</v>
      </c>
      <c r="F7" s="3" t="s">
        <v>45</v>
      </c>
      <c r="G7" s="7" t="s">
        <v>244</v>
      </c>
      <c r="H7" s="7" t="s">
        <v>245</v>
      </c>
      <c r="I7" s="7" t="s">
        <v>246</v>
      </c>
    </row>
    <row r="8" spans="1:9" x14ac:dyDescent="0.3">
      <c r="A8" s="4" t="s">
        <v>247</v>
      </c>
      <c r="B8" s="4" t="s">
        <v>128</v>
      </c>
      <c r="C8" s="4">
        <v>24</v>
      </c>
      <c r="D8" s="4">
        <v>43</v>
      </c>
      <c r="E8" s="4">
        <v>20</v>
      </c>
      <c r="F8" s="4" t="s">
        <v>62</v>
      </c>
      <c r="G8" s="8" t="s">
        <v>99</v>
      </c>
      <c r="H8" s="8" t="s">
        <v>142</v>
      </c>
      <c r="I8" s="8" t="s">
        <v>31</v>
      </c>
    </row>
    <row r="9" spans="1:9" x14ac:dyDescent="0.3">
      <c r="A9" s="3" t="s">
        <v>248</v>
      </c>
      <c r="B9" s="3" t="s">
        <v>122</v>
      </c>
      <c r="C9" s="3">
        <v>44</v>
      </c>
      <c r="D9" s="3">
        <v>83</v>
      </c>
      <c r="E9" s="3">
        <v>40</v>
      </c>
      <c r="F9" s="3" t="s">
        <v>45</v>
      </c>
      <c r="G9" s="7" t="s">
        <v>192</v>
      </c>
      <c r="H9" s="7" t="s">
        <v>249</v>
      </c>
      <c r="I9" s="7" t="s">
        <v>250</v>
      </c>
    </row>
    <row r="10" spans="1:9" x14ac:dyDescent="0.3">
      <c r="A10" s="4" t="s">
        <v>251</v>
      </c>
      <c r="B10" s="4" t="s">
        <v>122</v>
      </c>
      <c r="C10" s="4">
        <v>84</v>
      </c>
      <c r="D10" s="4">
        <v>123</v>
      </c>
      <c r="E10" s="4">
        <v>40</v>
      </c>
      <c r="F10" s="4" t="s">
        <v>62</v>
      </c>
      <c r="G10" s="8" t="s">
        <v>99</v>
      </c>
      <c r="H10" s="8" t="s">
        <v>196</v>
      </c>
      <c r="I10" s="8" t="s">
        <v>31</v>
      </c>
    </row>
    <row r="11" spans="1:9" x14ac:dyDescent="0.3">
      <c r="A11" s="3" t="s">
        <v>252</v>
      </c>
      <c r="B11" s="3" t="s">
        <v>128</v>
      </c>
      <c r="C11" s="3">
        <v>124</v>
      </c>
      <c r="D11" s="3">
        <v>143</v>
      </c>
      <c r="E11" s="3">
        <v>20</v>
      </c>
      <c r="F11" s="3" t="s">
        <v>45</v>
      </c>
      <c r="G11" s="7" t="s">
        <v>192</v>
      </c>
      <c r="H11" s="7" t="s">
        <v>95</v>
      </c>
      <c r="I11" s="7" t="s">
        <v>250</v>
      </c>
    </row>
    <row r="12" spans="1:9" x14ac:dyDescent="0.3">
      <c r="A12" s="4" t="s">
        <v>253</v>
      </c>
      <c r="B12" s="4" t="s">
        <v>75</v>
      </c>
      <c r="C12" s="4">
        <v>144</v>
      </c>
      <c r="D12" s="4">
        <v>145</v>
      </c>
      <c r="E12" s="4">
        <v>2</v>
      </c>
      <c r="F12" s="4" t="s">
        <v>45</v>
      </c>
      <c r="G12" s="8" t="s">
        <v>130</v>
      </c>
      <c r="H12" s="8" t="s">
        <v>95</v>
      </c>
      <c r="I12" s="8" t="s">
        <v>250</v>
      </c>
    </row>
    <row r="13" spans="1:9" ht="26.4" x14ac:dyDescent="0.3">
      <c r="A13" s="3" t="s">
        <v>254</v>
      </c>
      <c r="B13" s="3" t="s">
        <v>80</v>
      </c>
      <c r="C13" s="3">
        <v>146</v>
      </c>
      <c r="D13" s="3">
        <v>155</v>
      </c>
      <c r="E13" s="3">
        <v>10</v>
      </c>
      <c r="F13" s="3" t="s">
        <v>45</v>
      </c>
      <c r="G13" s="7" t="s">
        <v>155</v>
      </c>
      <c r="H13" s="7" t="s">
        <v>95</v>
      </c>
      <c r="I13" s="7" t="s">
        <v>250</v>
      </c>
    </row>
    <row r="14" spans="1:9" x14ac:dyDescent="0.3">
      <c r="A14" s="4" t="s">
        <v>255</v>
      </c>
      <c r="B14" s="4" t="s">
        <v>80</v>
      </c>
      <c r="C14" s="4">
        <v>156</v>
      </c>
      <c r="D14" s="4">
        <v>165</v>
      </c>
      <c r="E14" s="4">
        <v>10</v>
      </c>
      <c r="F14" s="4" t="s">
        <v>62</v>
      </c>
      <c r="G14" s="8" t="s">
        <v>136</v>
      </c>
      <c r="H14" s="8" t="s">
        <v>196</v>
      </c>
      <c r="I14" s="8" t="s">
        <v>250</v>
      </c>
    </row>
    <row r="15" spans="1:9" x14ac:dyDescent="0.3">
      <c r="A15" s="3" t="s">
        <v>256</v>
      </c>
      <c r="B15" s="3" t="s">
        <v>80</v>
      </c>
      <c r="C15" s="3">
        <v>166</v>
      </c>
      <c r="D15" s="3">
        <v>175</v>
      </c>
      <c r="E15" s="3">
        <v>10</v>
      </c>
      <c r="F15" s="3" t="s">
        <v>62</v>
      </c>
      <c r="G15" s="7" t="s">
        <v>136</v>
      </c>
      <c r="H15" s="7" t="s">
        <v>196</v>
      </c>
      <c r="I15" s="7" t="s">
        <v>250</v>
      </c>
    </row>
    <row r="16" spans="1:9" x14ac:dyDescent="0.3">
      <c r="A16" s="4" t="s">
        <v>257</v>
      </c>
      <c r="B16" s="4" t="s">
        <v>141</v>
      </c>
      <c r="C16" s="4">
        <v>176</v>
      </c>
      <c r="D16" s="4">
        <v>235</v>
      </c>
      <c r="E16" s="4">
        <v>60</v>
      </c>
      <c r="F16" s="4" t="s">
        <v>62</v>
      </c>
      <c r="G16" s="8" t="s">
        <v>99</v>
      </c>
      <c r="H16" s="8" t="s">
        <v>142</v>
      </c>
      <c r="I16" s="8" t="s">
        <v>31</v>
      </c>
    </row>
    <row r="17" spans="1:9" x14ac:dyDescent="0.3">
      <c r="A17" s="3" t="s">
        <v>117</v>
      </c>
      <c r="B17" s="3" t="s">
        <v>75</v>
      </c>
      <c r="C17" s="3">
        <v>236</v>
      </c>
      <c r="D17" s="3">
        <v>237</v>
      </c>
      <c r="E17" s="3">
        <v>2</v>
      </c>
      <c r="F17" s="3" t="s">
        <v>62</v>
      </c>
      <c r="G17" s="7" t="s">
        <v>130</v>
      </c>
      <c r="H17" s="7" t="s">
        <v>196</v>
      </c>
      <c r="I17" s="7" t="s">
        <v>258</v>
      </c>
    </row>
    <row r="18" spans="1:9" ht="26.4" x14ac:dyDescent="0.3">
      <c r="A18" s="4" t="s">
        <v>259</v>
      </c>
      <c r="B18" s="4" t="s">
        <v>106</v>
      </c>
      <c r="C18" s="4">
        <v>238</v>
      </c>
      <c r="D18" s="4">
        <v>240</v>
      </c>
      <c r="E18" s="4">
        <v>3</v>
      </c>
      <c r="F18" s="4" t="s">
        <v>62</v>
      </c>
      <c r="G18" s="8" t="s">
        <v>260</v>
      </c>
      <c r="H18" s="8" t="s">
        <v>261</v>
      </c>
      <c r="I18" s="8" t="s">
        <v>262</v>
      </c>
    </row>
    <row r="19" spans="1:9" ht="39.6" x14ac:dyDescent="0.3">
      <c r="A19" s="3" t="s">
        <v>176</v>
      </c>
      <c r="B19" s="3" t="s">
        <v>80</v>
      </c>
      <c r="C19" s="3">
        <v>241</v>
      </c>
      <c r="D19" s="3">
        <v>250</v>
      </c>
      <c r="E19" s="3">
        <v>10</v>
      </c>
      <c r="F19" s="3" t="s">
        <v>45</v>
      </c>
      <c r="G19" s="7" t="s">
        <v>283</v>
      </c>
      <c r="H19" s="7" t="s">
        <v>263</v>
      </c>
      <c r="I19" s="7" t="s">
        <v>264</v>
      </c>
    </row>
    <row r="20" spans="1:9" ht="26.4" x14ac:dyDescent="0.3">
      <c r="A20" s="4" t="s">
        <v>79</v>
      </c>
      <c r="B20" s="4" t="s">
        <v>80</v>
      </c>
      <c r="C20" s="4">
        <v>251</v>
      </c>
      <c r="D20" s="4">
        <v>260</v>
      </c>
      <c r="E20" s="4">
        <v>10</v>
      </c>
      <c r="F20" s="4" t="s">
        <v>45</v>
      </c>
      <c r="G20" s="8" t="s">
        <v>284</v>
      </c>
      <c r="H20" s="8" t="s">
        <v>265</v>
      </c>
      <c r="I20" s="8" t="s">
        <v>266</v>
      </c>
    </row>
    <row r="21" spans="1:9" ht="26.4" x14ac:dyDescent="0.3">
      <c r="A21" s="3" t="s">
        <v>267</v>
      </c>
      <c r="B21" s="3" t="s">
        <v>44</v>
      </c>
      <c r="C21" s="3">
        <v>261</v>
      </c>
      <c r="D21" s="3">
        <v>261</v>
      </c>
      <c r="E21" s="3">
        <v>1</v>
      </c>
      <c r="F21" s="3" t="s">
        <v>45</v>
      </c>
      <c r="G21" s="7" t="s">
        <v>268</v>
      </c>
      <c r="H21" s="7" t="s">
        <v>269</v>
      </c>
      <c r="I21" s="7" t="s">
        <v>270</v>
      </c>
    </row>
    <row r="22" spans="1:9" x14ac:dyDescent="0.3">
      <c r="A22" s="4" t="s">
        <v>271</v>
      </c>
      <c r="B22" s="4" t="s">
        <v>166</v>
      </c>
      <c r="C22" s="4">
        <v>262</v>
      </c>
      <c r="D22" s="4">
        <v>269</v>
      </c>
      <c r="E22" s="4">
        <v>8</v>
      </c>
      <c r="F22" s="4" t="s">
        <v>45</v>
      </c>
      <c r="G22" s="8" t="s">
        <v>167</v>
      </c>
      <c r="H22" s="8" t="s">
        <v>272</v>
      </c>
      <c r="I22" s="8" t="s">
        <v>273</v>
      </c>
    </row>
    <row r="23" spans="1:9" ht="39.6" x14ac:dyDescent="0.3">
      <c r="A23" s="3" t="s">
        <v>274</v>
      </c>
      <c r="B23" s="3" t="s">
        <v>166</v>
      </c>
      <c r="C23" s="3">
        <v>270</v>
      </c>
      <c r="D23" s="3">
        <v>277</v>
      </c>
      <c r="E23" s="3">
        <v>8</v>
      </c>
      <c r="F23" s="3" t="s">
        <v>45</v>
      </c>
      <c r="G23" s="7" t="s">
        <v>171</v>
      </c>
      <c r="H23" s="7" t="s">
        <v>275</v>
      </c>
      <c r="I23" s="7" t="s">
        <v>276</v>
      </c>
    </row>
    <row r="24" spans="1:9" x14ac:dyDescent="0.3">
      <c r="A24" s="4" t="s">
        <v>60</v>
      </c>
      <c r="B24" s="4" t="s">
        <v>277</v>
      </c>
      <c r="C24" s="4">
        <v>278</v>
      </c>
      <c r="D24" s="4">
        <v>600</v>
      </c>
      <c r="E24" s="4">
        <v>323</v>
      </c>
      <c r="F24" s="4" t="s">
        <v>62</v>
      </c>
      <c r="G24" s="8" t="s">
        <v>63</v>
      </c>
      <c r="H24" s="8" t="s">
        <v>64</v>
      </c>
      <c r="I24" s="8" t="s">
        <v>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26" customWidth="1"/>
    <col min="2" max="2" width="15" customWidth="1"/>
    <col min="3" max="4" width="7" customWidth="1"/>
    <col min="5" max="5" width="8" customWidth="1"/>
    <col min="6" max="6" width="6" customWidth="1"/>
    <col min="7" max="7" width="30" customWidth="1"/>
    <col min="8" max="8" width="62" customWidth="1"/>
    <col min="9" max="9" width="11" customWidth="1"/>
  </cols>
  <sheetData>
    <row r="1" spans="1:9" ht="17.399999999999999" x14ac:dyDescent="0.35">
      <c r="A1" s="5" t="s">
        <v>278</v>
      </c>
    </row>
    <row r="2" spans="1:9" x14ac:dyDescent="0.3">
      <c r="A2" s="6" t="s">
        <v>34</v>
      </c>
      <c r="B2" s="6" t="s">
        <v>35</v>
      </c>
      <c r="C2" s="6" t="s">
        <v>36</v>
      </c>
      <c r="D2" s="6" t="s">
        <v>37</v>
      </c>
      <c r="E2" s="6" t="s">
        <v>38</v>
      </c>
      <c r="F2" s="6" t="s">
        <v>39</v>
      </c>
      <c r="G2" s="6" t="s">
        <v>40</v>
      </c>
      <c r="H2" s="6" t="s">
        <v>41</v>
      </c>
      <c r="I2" s="6" t="s">
        <v>42</v>
      </c>
    </row>
    <row r="3" spans="1:9" ht="39.6" x14ac:dyDescent="0.3">
      <c r="A3" s="3" t="s">
        <v>43</v>
      </c>
      <c r="B3" s="3" t="s">
        <v>44</v>
      </c>
      <c r="C3" s="3">
        <v>1</v>
      </c>
      <c r="D3" s="3">
        <v>1</v>
      </c>
      <c r="E3" s="3">
        <v>1</v>
      </c>
      <c r="F3" s="3" t="s">
        <v>45</v>
      </c>
      <c r="G3" s="7" t="s">
        <v>279</v>
      </c>
      <c r="H3" s="7" t="s">
        <v>280</v>
      </c>
      <c r="I3" s="7" t="s">
        <v>68</v>
      </c>
    </row>
    <row r="4" spans="1:9" x14ac:dyDescent="0.3">
      <c r="A4" s="4" t="s">
        <v>60</v>
      </c>
      <c r="B4" s="4" t="s">
        <v>281</v>
      </c>
      <c r="C4" s="4">
        <v>2</v>
      </c>
      <c r="D4" s="4">
        <v>600</v>
      </c>
      <c r="E4" s="4">
        <v>599</v>
      </c>
      <c r="F4" s="4" t="s">
        <v>62</v>
      </c>
      <c r="G4" s="8" t="s">
        <v>63</v>
      </c>
      <c r="H4" s="8" t="s">
        <v>64</v>
      </c>
      <c r="I4" s="8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Index</vt:lpstr>
      <vt:lpstr>A - Submit Header</vt:lpstr>
      <vt:lpstr>B - Contra Header</vt:lpstr>
      <vt:lpstr>C - Firm Entity</vt:lpstr>
      <vt:lpstr>D01 - Producer</vt:lpstr>
      <vt:lpstr>D02 - Producer Profile</vt:lpstr>
      <vt:lpstr>Z - Bundle Trailer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Jhomari Atienza</cp:lastModifiedBy>
  <dcterms:created xsi:type="dcterms:W3CDTF">2026-07-31T04:34:56Z</dcterms:created>
  <dcterms:modified xsi:type="dcterms:W3CDTF">2026-08-25T01:16:56Z</dcterms:modified>
</cp:coreProperties>
</file>