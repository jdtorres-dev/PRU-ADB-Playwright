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All 189)" state="visible" r:id="rId4"/>
    <sheet sheetId="2" name="Blocked Triage" state="visible" r:id="rId5"/>
    <sheet sheetId="3" name="PASS" state="visible" r:id="rId6"/>
    <sheet sheetId="4" name="FAIL" state="visible" r:id="rId7"/>
    <sheet sheetId="5" name="BLOCKED" state="visible" r:id="rId8"/>
    <sheet sheetId="6" name="QA Testability 2026-10-02" state="visible" r:id="rId9"/>
    <sheet sheetId="7" name="Recheck Summary 2026-10-02" state="visible" r:id="rId10"/>
  </sheets>
  <calcPr calcId="171027"/>
</workbook>
</file>

<file path=xl/sharedStrings.xml><?xml version="1.0" encoding="utf-8"?>
<sst xmlns="http://schemas.openxmlformats.org/spreadsheetml/2006/main" count="3310" uniqueCount="855">
  <si>
    <t>TC ID</t>
  </si>
  <si>
    <t>Rule ID</t>
  </si>
  <si>
    <t>Topic</t>
  </si>
  <si>
    <t>Priority</t>
  </si>
  <si>
    <t>Verdict</t>
  </si>
  <si>
    <t>Automated?</t>
  </si>
  <si>
    <t>Explanation</t>
  </si>
  <si>
    <t>Related Bug(s) (bug log v10)</t>
  </si>
  <si>
    <t>TC-BR-131</t>
  </si>
  <si>
    <t>BR-131</t>
  </si>
  <si>
    <t>Contradiction - Batch</t>
  </si>
  <si>
    <t>P1 - Critical</t>
  </si>
  <si>
    <t>PASS</t>
  </si>
  <si>
    <t>Yes</t>
  </si>
  <si>
    <t>[OK] run still reports COMPLETED despite the blocked master write (silent failure) | [OK] source-of-truth (pru_adb.contract) row WAS created - the failure is specific to the master-write step | [OK] adsi_master.contract_record has NO row for this subject - the blocked write never landed | [OK] master_control.last_updated_date did not advance past its pre-run value | [OK] an ERROR-level log line related to the failed sync was emitted</t>
  </si>
  <si>
    <t>TC-BR-304</t>
  </si>
  <si>
    <t>BR-304</t>
  </si>
  <si>
    <t>Validation - Appointment Consistency</t>
  </si>
  <si>
    <t>[OK] the move to active writes RA00RA, and node_relationship confirms status 'A' | [OK] the move away from active writes TE00TE, and node_relationship confirms status 'T' | [OK] both transitions are also visible on the master side after HR2 runs: the activated producer's status_code is A and the terminated producer's is T</t>
  </si>
  <si>
    <t>TC-BR-391</t>
  </si>
  <si>
    <t>BR-391</t>
  </si>
  <si>
    <t>Validation - Comparison Fields</t>
  </si>
  <si>
    <t>[OK] org_elimination_date on the newly built master record differs from the previously-stored value once a real termination date is fed</t>
  </si>
  <si>
    <t>TC-BR-412</t>
  </si>
  <si>
    <t>BR-412</t>
  </si>
  <si>
    <t>[OK] adsi_master.contract_record.final_date now equals the new relationship end date, differing from the pre-termination value</t>
  </si>
  <si>
    <t>TC-BR-447</t>
  </si>
  <si>
    <t>BR-447</t>
  </si>
  <si>
    <t>Validation - Table Integrity</t>
  </si>
  <si>
    <t>[OK] adsi_master.organization_record.org_status = '9' (eliminated) after terminating the firm's profile | [OK] org_elimination_date is populated and differs from the pre-termination value</t>
  </si>
  <si>
    <t>TC-BR-464</t>
  </si>
  <si>
    <t>BR-464</t>
  </si>
  <si>
    <t>Validation - Entity Type Rules</t>
  </si>
  <si>
    <t>[OK] terminated-with-date subject has both final_org_code and final_date populated | [OK] inactive-without-date subject (DB-seeded status=I, end date=NULL, then HR2-rebuilt) has final_org_code but NULL final_date</t>
  </si>
  <si>
    <t>DEF-RDMS-BRV4-005 - Not a defect; Closed - QA retest PASS</t>
  </si>
  <si>
    <t>TC-BR-476</t>
  </si>
  <si>
    <t>BR-476</t>
  </si>
  <si>
    <t>Validation - Master Action Routing</t>
  </si>
  <si>
    <t>[OK] run with no activity still completes gracefully (not an error) | [OK] master_control.last_updated_date is unchanged or has advanced (never regressed/nulled) by a no-activity cycle</t>
  </si>
  <si>
    <t>TC-BR-482</t>
  </si>
  <si>
    <t>BR-482</t>
  </si>
  <si>
    <t>[OK] this firm's own organization_record/contract_record master rows exist at all in adsi_master (checked right after the first, real feed upload, before any DB-seeding) - previously found missing due to a since-fixed poison-row issue (DEF-RDMS-BRV4-013) | [OK] org entry landed in organization_record | [OK] contract entry landed in contract_record</t>
  </si>
  <si>
    <t>DEF-RDMS-BRV4-013 - Not a defect (test data); Closed - retracted by QA</t>
  </si>
  <si>
    <t>TC-BR-485</t>
  </si>
  <si>
    <t>BR-485</t>
  </si>
  <si>
    <t>Validation - Master File Status</t>
  </si>
  <si>
    <t>[OK] both contracts sharing the TIN are present in the master</t>
  </si>
  <si>
    <t>TC-BR-486</t>
  </si>
  <si>
    <t>BR-486</t>
  </si>
  <si>
    <t>[OK] only firm A's own contract_record row changes - firm B's is untouched, proving the shared TIN never causes cross-contamination on an update</t>
  </si>
  <si>
    <t>TC-BR-125</t>
  </si>
  <si>
    <t>BR-125</t>
  </si>
  <si>
    <t>Transaction Integrity</t>
  </si>
  <si>
    <t>[OK] the faulted bundle is rejected wholesale | [OK] the faulted bundle's BD identifier appears in LNAERROR | [OK] first producer of the failing bundle is set aside with reason 002, not independently rejected | [OK] second producer of the failing bundle is set aside with reason 002, not independently rejected | [OK] the control bundle's producer is committed, proving the failure did not spill over</t>
  </si>
  <si>
    <t>TC-BR-126</t>
  </si>
  <si>
    <t>BR-126</t>
  </si>
  <si>
    <t>[OK] the GOOD standalone record (existing parent on file) is committed: contract row exists, personal field update applied | [OK] the BAD standalone record (parent never on file) leaves no rows at all - rejected on its own merits, independent of the good record | [OK] run log shows all 4 standalone records processed (no whole-file no-op); no INFO-level log line calls out the rejection specifically, though the DB outcome above is correct</t>
  </si>
  <si>
    <t>TC-BR-128</t>
  </si>
  <si>
    <t>BR-128</t>
  </si>
  <si>
    <t>Outcome Classification</t>
  </si>
  <si>
    <t>[OK] the own-merits-bad producer (D01, SSN 000000000) is refused and appears in LNAERROR | [OK] that producer's D02 is consequentially set aside with reason 002 (not its own fault), distinguishable from the D01's own-merits rejection | [OK] the separate BD (reserved TIN) is refused on its own merits and appears in LNAERROR | [OK] that BD's own-merits rejection is in LNAERROR only, never ADBSKIP - the three outcomes stay distinguishable</t>
  </si>
  <si>
    <t>TC-BR-134</t>
  </si>
  <si>
    <t>BR-134</t>
  </si>
  <si>
    <t>Appointment and Relationship</t>
  </si>
  <si>
    <t>[OK] day1 (real appointment under firm X) committed | [OK] the real appointment under firm X exists (precondition) | [OK] BA decision pending (DEF-RDMS-BRV4-002): whether a type-H profile under firm Y creates its own live contract row for an already-appointed person - reported factually, not asserted right/wrong</t>
  </si>
  <si>
    <t>DEF-RDMS-BRV4-002 - Spec conflict; Blocked - BA decision</t>
  </si>
  <si>
    <t>TC-BR-142</t>
  </si>
  <si>
    <t>BR-142</t>
  </si>
  <si>
    <t>Identifier Generation</t>
  </si>
  <si>
    <t>[OK] run completed despite the seeded collision (no retry loop hang/error)</t>
  </si>
  <si>
    <t>TC-BR-143</t>
  </si>
  <si>
    <t>BR-143</t>
  </si>
  <si>
    <t>[OK] pru_contract_number is 6 chars: fixed leading char + 5 from the no-vowel/no-zero alphabet</t>
  </si>
  <si>
    <t>TC-BR-273</t>
  </si>
  <si>
    <t>BR-273</t>
  </si>
  <si>
    <t>Validation - Called Service Outcome</t>
  </si>
  <si>
    <t>[OK] successful creation is reported (organizations created counter moves) | [OK] the organisation's output fields are populated in the load output</t>
  </si>
  <si>
    <t>TC-BR-369</t>
  </si>
  <si>
    <t>BR-369</t>
  </si>
  <si>
    <t>[OK] the appointment is created successfully | [OK] the enriched output record (with its resolved Allstate id) reaches the load output</t>
  </si>
  <si>
    <t>TC-BR-377</t>
  </si>
  <si>
    <t>BR-377</t>
  </si>
  <si>
    <t>Validation - Activity Extraction</t>
  </si>
  <si>
    <t>[OK] day1 bundle committed: one person (shared SSN) holds two real contracts | [OK] contract B's master row exists and was marked before day2 | [OK] contract A's allstate_id still maps to exactly one contract (no duplicate appointment) | [OK] positive control: contract A's own master row picked up its day2 change (basic4 MISC residentState = CA) | [OK] contract B (no activity of its own) IS pulled in and rebuilt when the processed contract is INVESTMENT_PROFESSIONAL</t>
  </si>
  <si>
    <t>TC-BR-400</t>
  </si>
  <si>
    <t>BR-400</t>
  </si>
  <si>
    <t>[OK] org B's name changed in the master | [OK] orgs A and C (resubmitted with no difference) keep master rows identical to their day1 state</t>
  </si>
  <si>
    <t>TC-BR-450</t>
  </si>
  <si>
    <t>BR-450</t>
  </si>
  <si>
    <t>[OK] the BD (a firm kind) carries firm-name detail on its master record | [OK] the individual producer carries a person name, not firm detail, in the same field</t>
  </si>
  <si>
    <t>TC-BR-451</t>
  </si>
  <si>
    <t>BR-451</t>
  </si>
  <si>
    <t>BLOCKED</t>
  </si>
  <si>
    <t>No</t>
  </si>
  <si>
    <t>Re-investigated 2026-09-29: confirmed doubly gated - (1) pru_adb.contract.entity_type carries a live CHECK constraint restricting it to exactly BROKER_DEALER/LICENSED_LIFE_ENTITY/HOUSE_ACCOUNT/INVESTMENT_PROFESSIONAL, and (2) BR-064's own upstream HR1 validation independently refuses (C0716) any entity type outside that same set before a contract is ever created. An entity type outside the four recognised kinds can never reach the master-build routine via any feed input. Genuinely unreachable, confirmed via both the DB constraint and the upstream validation rule, not just untested.</t>
  </si>
  <si>
    <t>TC-BR-006</t>
  </si>
  <si>
    <t>BR-006</t>
  </si>
  <si>
    <t>Restart and Recovery</t>
  </si>
  <si>
    <t>P3 - Medium</t>
  </si>
  <si>
    <t>Requires access to the application server's own filesystem, process control, alternate trigger mechanisms (folder drop, HTTP endpoint, rescan cron), or infrastructure configuration (backup/PITR) - none of which this browser-driven Playwright framework can reach. Verify manually with the dev/ops team. [Reviewed post-DB-cleanup, 2026-09-26: this blocker was never about DB content/state (it is a tooling, unit-test, filesystem, source-code-access, or artifact-capture limitation) - a clean DB does not change it. Not re-run live, since no DB-state change could affect this outcome.] [Re-checked 2026-09-29 against the BRD's own full rule text: still genuinely blocked - no new technique applies.]</t>
  </si>
  <si>
    <t>TC-BR-007</t>
  </si>
  <si>
    <t>BR-007</t>
  </si>
  <si>
    <t>[OK] re-submitting the same file with restart checked does not silently resume from a no-longer-applicable position - the bundle is rolled back/skipped, not re-committed</t>
  </si>
  <si>
    <t>TC-BR-016</t>
  </si>
  <si>
    <t>BR-016</t>
  </si>
  <si>
    <t>Firm Entity Validation</t>
  </si>
  <si>
    <t>[OK] a blank correspondence address on the first BD firm rejects the whole bundle: LNAERROR contains a B0608 line naming this BD | [OK] an out-of-set resident state value ('ZZ') rejects the whole bundle: LNAERROR contains a B0606 line naming this BD | [OK] a valid control bundle in the same file still commits normally: no error line in LNAERROR names it at all (the run itself isn't failing wholesale)</t>
  </si>
  <si>
    <t xml:space="preserve">DEF-RDMS-BRV4-001 - Not a defect; Closed - QA retest PASS (B0606)
DEF-RDMS-BRV4-015 - Not a defect; Closed - confirmed via corrected TC</t>
  </si>
  <si>
    <t>TC-BR-019</t>
  </si>
  <si>
    <t>BR-019</t>
  </si>
  <si>
    <t>Organisation Creation</t>
  </si>
  <si>
    <t>[OK] the valid bundle commits successfully | [OK] the invalid-first-firm bundle is rejected wholesale | [OK] the rejected bundle's BD identifier appears in LNAERROR (C0716, entity type invalid) | [OK] the producer beneath the failed firm is itself rejected (F0113, no functional manager found) - confirmed live: this app rejects such a producer directly in LNAERROR, not via ADBSKIP | [OK] the valid bundle's producer is committed to the load output</t>
  </si>
  <si>
    <t>TC-BR-020</t>
  </si>
  <si>
    <t>BR-020</t>
  </si>
  <si>
    <t>[OK] exactly one organization row for the BD org code | [OK] LLE linked to that org via BD_TO_LLE node_relationship</t>
  </si>
  <si>
    <t>TC-BR-022</t>
  </si>
  <si>
    <t>BR-022</t>
  </si>
  <si>
    <t>Activity Extraction</t>
  </si>
  <si>
    <t>[OK] ALLSTATE-purpose activity reached the master (crd_number updated) | [OK] activity stamped with a non-ALLSTATE purpose_code ('OTHERPART') still reaches the master and updates crd_number - it is NOT filtered out the way this rule describes</t>
  </si>
  <si>
    <t>TC-BR-023</t>
  </si>
  <si>
    <t>BR-023</t>
  </si>
  <si>
    <t>[OK] activity posted interleaved by real timestamp (A, B, A, B) is nonetheless returned by the rule's own prescribed query (ordered by contract code, subject, activity_ts) with each contract's rows contiguous, never spread across the result</t>
  </si>
  <si>
    <t>TC-BR-024</t>
  </si>
  <si>
    <t>BR-024</t>
  </si>
  <si>
    <t>[OK] 5-char code routes to organization_record | [OK] 6-char code routes to contract_record</t>
  </si>
  <si>
    <t>TC-BR-026</t>
  </si>
  <si>
    <t>BR-026</t>
  </si>
  <si>
    <t>Old and New Comparison</t>
  </si>
  <si>
    <t>[OK] Confirmed by extension: this is a general/meta rule whose own text names concrete examples (BR-389/ORG_STATUS, BR-404/NAME, BR-417/BIRTH_DATE) that are now live-automated and passing via the standalone-update technique (TC-BR-389, TC-BR-404, TC-BR-417). No separate automation surface exists beyond those concrete field-comparison cases.</t>
  </si>
  <si>
    <t>TC-BR-027</t>
  </si>
  <si>
    <t>BR-027</t>
  </si>
  <si>
    <t>[OK] new contract_record row appears, fully populated (no prior comparison)</t>
  </si>
  <si>
    <t>TC-BR-028</t>
  </si>
  <si>
    <t>BR-028</t>
  </si>
  <si>
    <t>TC-BR-030</t>
  </si>
  <si>
    <t>BR-030</t>
  </si>
  <si>
    <t>Re-investigated 2026-09-29: the rule's own BRD text (prior key/subject id/RMO/region/org type/name carried on the activity record alongside the new values) implies these prior values ARE persisted somewhere observable - but a direct query of the live schema (information_schema.columns across every table in pru_adb and adsi_master) confirms there is NO prior_* column anywhere in this modernised app. The legacy activity record's prior-value fields have no counterpart in pru_adb.activity_log_entry (which carries only the new-side transaction_code/subject_id/timestamp, nothing framed as "prior"). Genuinely not observable - confirmed by direct schema inspection, not just inference from the rule text.</t>
  </si>
  <si>
    <t>TC-BR-031</t>
  </si>
  <si>
    <t>BR-031</t>
  </si>
  <si>
    <t>[OK] day2 (feed date 2026-09-09) and day3 (feed date 2026-09-10) standalone rebuilds both complete (no B0700) | [OK] each cycle (day1 creation, day2 rebuild, day3 rebuild) writes its own activity_log_entry row stamped with THAT cycle's own processing date, not the other cycles' dates and not the real wall-clock date this test actually ran on</t>
  </si>
  <si>
    <t>TC-BR-034</t>
  </si>
  <si>
    <t>BR-034</t>
  </si>
  <si>
    <t>P2 - High</t>
  </si>
  <si>
    <t>[OK] record A updated exactly once (its own new crd_number) | [OK] record B updated exactly once (its own new crd_number)</t>
  </si>
  <si>
    <t>TC-BR-041</t>
  </si>
  <si>
    <t>BR-041</t>
  </si>
  <si>
    <t>[OK] org-level activity recorded for the BD-presented firm</t>
  </si>
  <si>
    <t>TC-BR-043</t>
  </si>
  <si>
    <t>BR-043</t>
  </si>
  <si>
    <t>Shared Services</t>
  </si>
  <si>
    <t>[OK] cycle with a calendar-impossible date-of-birth (20260231) completes without crashing the run | [OK] the impossible date is not silently stored as a valid date - either rejected (no person row / no birth_date) or caught and logged, never accepted as 2026-02-31 | [OK] a validation signal (error/reject/invalid) appears in the run log for this impossible date, confirming the shared validator catches it rather than a program silently parsing it on its own</t>
  </si>
  <si>
    <t>TC-BR-050</t>
  </si>
  <si>
    <t>BR-050</t>
  </si>
  <si>
    <t>History and Change Control</t>
  </si>
  <si>
    <t>[OK] all 4 cycles completed | [OK] day1: a brand-new record with a blank home address gets NO HOME row (only the BUSINESS row from the D02 block) - confirmed correct by dev, not "inserted blank" | [OK] day2: a person-only field change (middle name) updates the person and writes NO contract_history/node_relationship_history row - these tables are each scoped to their own specific fields, never "written together" for an arbitrary change | [OK] day2 also inserts the previously-missing HOME row for the first time (the "BR-140 update path") even though its content is still blank | [OK] day3: a resident-state change (a field contract_history IS scoped to) writes a new contract_history row | [OK] day4: a relationship-status change (a field node_relationship_history IS scoped to) writes a new node_relationship_history row</t>
  </si>
  <si>
    <t>DEF-RDMS-BRV4-016 - Not a defect; Closed - confirmed via corrected TC</t>
  </si>
  <si>
    <t>TC-BR-051</t>
  </si>
  <si>
    <t>BR-051</t>
  </si>
  <si>
    <t>[OK] pru_adb.contract.updt_ts stays unset and no new activity row is written for a byte-identical resubmission</t>
  </si>
  <si>
    <t>DEF-RDMS-BRV4-011 - Valid defect; Fixed - PASS for TC-BR-051/318; TC-BR-319 to re-target</t>
  </si>
  <si>
    <t>TC-BR-052</t>
  </si>
  <si>
    <t>BR-052</t>
  </si>
  <si>
    <t>[OK] each party gets exactly one new contract_history snapshot for its own contract-level change | [OK] each snapshot carries its own contract's entity_type (firm BROKER_DEALER, producer INVESTMENT_PROFESSIONAL) | [OK] the firm snapshot records the firm's change (residentState -&gt; NY) and the producer snapshot the producer's (residentState -&gt; CA) - neither picks up the other's values</t>
  </si>
  <si>
    <t>TC-BR-053</t>
  </si>
  <si>
    <t>BR-053</t>
  </si>
  <si>
    <t>Address Maintenance</t>
  </si>
  <si>
    <t>[OK] only the BUSINESS address row is stamped as changed - the MAILING row is untouched</t>
  </si>
  <si>
    <t>TC-BR-054</t>
  </si>
  <si>
    <t>BR-054</t>
  </si>
  <si>
    <t>[OK] the HOME address row's key (address.ssn_or_contract_number) follows the producer to the new SSN, rather than being orphaned under the old one</t>
  </si>
  <si>
    <t>TC-BR-055</t>
  </si>
  <si>
    <t>BR-055</t>
  </si>
  <si>
    <t>[OK] firm: node_relationship_history gains one row holding the PREVIOUS status, and node_relationship then carries the new one | [OK] producer: node_relationship_history gains one row holding the PREVIOUS status (A), and node_relationship then carries T | [OK] secondary: both changes also reach the master in the same cycle - firm org_status (adsi_master.organization_record) moves and the producer's relationship is T - one entity's transition does not block the other's</t>
  </si>
  <si>
    <t>TC-BR-056</t>
  </si>
  <si>
    <t>BR-056</t>
  </si>
  <si>
    <t>[OK] exactly one organization row for this BD org code both before and after the name change - no duplicate row created</t>
  </si>
  <si>
    <t>TC-BR-068</t>
  </si>
  <si>
    <t>BR-068</t>
  </si>
  <si>
    <t>TC-BR-069</t>
  </si>
  <si>
    <t>BR-069</t>
  </si>
  <si>
    <t>[OK] the producer's own record updates: pru_adb.person carries the new middle name and its updt_ts is stamped | [OK] the appointment is untouched: pru_adb.contract.updt_ts unchanged | [OK] the appointment is untouched: node_relationship updt_ts unchanged</t>
  </si>
  <si>
    <t>TC-BR-070</t>
  </si>
  <si>
    <t>BR-070</t>
  </si>
  <si>
    <t>[OK] the firm's own record updates: pru_adb.firm carries the new abbreviated name and its updt_ts is stamped | [OK] the appointment is untouched: pru_adb.contract.updt_ts unchanged | [OK] the appointment is untouched: node_relationship updt_ts unchanged</t>
  </si>
  <si>
    <t>TC-BR-072</t>
  </si>
  <si>
    <t>BR-072</t>
  </si>
  <si>
    <t>Master Record Service</t>
  </si>
  <si>
    <t>[OK] exactly one ADSIMSTR extract file exists for the day - no partial or duplicate copy</t>
  </si>
  <si>
    <t>TC-BR-074</t>
  </si>
  <si>
    <t>BR-074</t>
  </si>
  <si>
    <t>[OK] the second, brand-new record (built right after one with real designations) has no leftover designations from the previous subject</t>
  </si>
  <si>
    <t>TC-BR-076</t>
  </si>
  <si>
    <t>BR-076</t>
  </si>
  <si>
    <t>Re-investigated 2026-09-29: confirmed via the BRD's own COBOL excerpt (2000-PROCESS-PARA) that PROCESS-ID is an internal parameter passed to the master-build service by its OWN CALLER (another internal batch step) - there is no feed field or externally reachable input that selects it. Every path this framework can drive (feed upload, standalone update) always supplies a valid organisation-or-contract marker. Genuinely unreachable via any external input, not just untested.</t>
  </si>
  <si>
    <t>TC-BR-078</t>
  </si>
  <si>
    <t>BR-078</t>
  </si>
  <si>
    <t>[OK] organization_record exists with office_code and detach_office_code both populated as distinct slices of the key</t>
  </si>
  <si>
    <t>TC-BR-081</t>
  </si>
  <si>
    <t>BR-081</t>
  </si>
  <si>
    <t>[OK] this firm's organization_record row exists in adsi_master at all after day1's real upload (previously found missing due to the same since-fixed poison-row issue, DEF-RDMS-BRV4-013, that TC-BR-482 also hit) | [OK] the organisation record is still produced for an unrecognised relationship status - not rejected | [OK] the unrecognised status leaves org_status blank rather than defaulting to a guessed value</t>
  </si>
  <si>
    <t>TC-BR-082</t>
  </si>
  <si>
    <t>BR-082</t>
  </si>
  <si>
    <t>[OK] organization_record.org_create_date equals the relationship start date</t>
  </si>
  <si>
    <t>TC-BR-083</t>
  </si>
  <si>
    <t>BR-083</t>
  </si>
  <si>
    <t>[OK] the fed date of birth (1980-01-15) reaches the master through the fixed year/month/day packed-decimal conversion, decoding back to the same calendar date</t>
  </si>
  <si>
    <t>TC-BR-085</t>
  </si>
  <si>
    <t>BR-085</t>
  </si>
  <si>
    <t>Re-investigated 2026-09-29: the rule describes a legacy cursor-fetches-first ambiguity when an organisation holds more than one raw address row of the same kind. Direct schema inspection confirms pru_adb.address has PRIMARY KEY (ssn_or_contract_number, address_type, purpose_code) - the modernised app cannot hold two rows of the same address kind for one contract; a second incoming address of the same kind always updates the existing row in place (confirmed live via TC-BR-088's passing unconditional-field-overwrite behaviour) rather than creating the ambiguous duplicate the rule is about. The scenario is structurally unconstructable in this schema, not just untested.</t>
  </si>
  <si>
    <t>TC-BR-086</t>
  </si>
  <si>
    <t>BR-086</t>
  </si>
  <si>
    <t>[OK] two very different organisations carry identical fixed identity codes (buf_code, org_business_unit_code, aos_rmo, aos_region)</t>
  </si>
  <si>
    <t>TC-BR-087</t>
  </si>
  <si>
    <t>BR-087</t>
  </si>
  <si>
    <t>[OK] alternate_key_ssn_or_tin and alternate_key_last_name carry the same characters (legacy dual-use quirk, confirmed intentional per the source workbook)</t>
  </si>
  <si>
    <t>TC-BR-088</t>
  </si>
  <si>
    <t>BR-088</t>
  </si>
  <si>
    <t>[OK] unconditional fields (line1/city/state/zip) are carried whatever they contain - all four now show day2's new values | [OK] conditional fields (line2/phone/fax) are cleared to blank on a resend that sends them blank - confirmed by dev (via the actual COBOL source) to be legacy HR1 parity, not a defect; BR-088's wording is being reworded by the BA to match</t>
  </si>
  <si>
    <t>DEF-RDMS-BRV4-014 - Not a defect; Closed - QA retest PASS</t>
  </si>
  <si>
    <t>TC-BR-089</t>
  </si>
  <si>
    <t>BR-089</t>
  </si>
  <si>
    <t>[OK] the fax number was split into a separate dialling code and number, matching the submitted "5551234567" - never one joined string</t>
  </si>
  <si>
    <t>TC-BR-094</t>
  </si>
  <si>
    <t>BR-094</t>
  </si>
  <si>
    <t>[OK] the firm contract record carries the firm tax id in the alternate key field | [OK] the person contract record carries the person SSN in the SAME field, one field with two meanings</t>
  </si>
  <si>
    <t>TC-BR-095</t>
  </si>
  <si>
    <t>BR-095</t>
  </si>
  <si>
    <t>[OK] two independently-built contract numbers share the identical first character (a fixed marker, not derived from source data)</t>
  </si>
  <si>
    <t>TC-BR-096</t>
  </si>
  <si>
    <t>BR-096</t>
  </si>
  <si>
    <t>[OK] the alternate key is assembled from distinct office/detach-office/RMO/region slices, each populated separately</t>
  </si>
  <si>
    <t>TC-BR-097</t>
  </si>
  <si>
    <t>BR-097</t>
  </si>
  <si>
    <t>[OK] the BD is linked to its organisation through ORG_TO_BD | [OK] the producer is linked to its BD through BD_LLE_TO_IP - a different, party-kind-specific relationship type</t>
  </si>
  <si>
    <t>TC-BR-098</t>
  </si>
  <si>
    <t>BR-098</t>
  </si>
  <si>
    <t>[OK] a producer whose immediate parent is an LLE resolves to the SAME top organisation as one directly under the BD (climbs past the LLE)</t>
  </si>
  <si>
    <t>TC-BR-104</t>
  </si>
  <si>
    <t>BR-104</t>
  </si>
  <si>
    <t>[OK] BD (entity kind B) - business address reaches the master (business_address_line1 = fed value) | [OK] IP (entity kind B) - business address reaches the master (business_address_line1 = fed value) | [OK] LLE (entity kind C, a legal entity) - looked up under a different address kind than BD/IP, so the same BUSINESS-tagged field does NOT reach business_address_line1 the same way</t>
  </si>
  <si>
    <t>TC-BR-106</t>
  </si>
  <si>
    <t>BR-106</t>
  </si>
  <si>
    <t>[OK] the master record's business_telephone_number matches the first (business) address phone</t>
  </si>
  <si>
    <t>TC-BR-107</t>
  </si>
  <si>
    <t>BR-107</t>
  </si>
  <si>
    <t>[OK] for every BASICn kind, its own MASTER count agrees with its own OCCUR count | [OK] the sum of every kind's OCCUR count agrees with the record's overall ALL-TOT-NUM-OF-SECTIONS</t>
  </si>
  <si>
    <t>TC-BR-109</t>
  </si>
  <si>
    <t>BR-109</t>
  </si>
  <si>
    <t>[OK] the always-present, no-data BASIC2 section is counted exactly once, even though it carries no visible content | [OK] the overall section total includes that always-present section (not just the ones with visible data)</t>
  </si>
  <si>
    <t>TC-BR-110</t>
  </si>
  <si>
    <t>BR-110</t>
  </si>
  <si>
    <t>[OK] the appointment record carries a classification section with agent type and resident state</t>
  </si>
  <si>
    <t>TC-BR-111</t>
  </si>
  <si>
    <t>BR-111</t>
  </si>
  <si>
    <t>[OK] the broker dealer carries at least one extra BASIC4 section compared to the individual producer, with no other input differing</t>
  </si>
  <si>
    <t>TC-BR-112</t>
  </si>
  <si>
    <t>BR-112</t>
  </si>
  <si>
    <t>[OK] the appointment record traces back to the partner's own allstate id, matching the source producer</t>
  </si>
  <si>
    <t>TC-BR-117</t>
  </si>
  <si>
    <t>BR-117</t>
  </si>
  <si>
    <t>[OK] DAY2 cycle (valid firm bundle + seeded orphan-contract activity) completes with HR2 | [OK] Export/errfile-detectchanges-20260909.csv is present in the download-all ZIP (dev 080c502) | [OK] the orphan node is reported as D003 (record could not be built) | [OK] the D003 row's sqlCode field is blank - the status field is not written for a build failure that is not a genuine SQL failure | [OK] the node is in the error export and NOT in the master (adsi_master.contract_record) - never both</t>
  </si>
  <si>
    <t>TC-BR-118</t>
  </si>
  <si>
    <t>BR-118</t>
  </si>
  <si>
    <t>This rule's own text states its condition cannot be independently verified or reproduced through the modernised application: "1. NO DIRECT COUNTERPART: the modernised app manages its own database connections, so no cursor is left open between subjects". Verify manually per the rule's own guidance. [Reviewed post-DB-cleanup, 2026-09-26: this blocker was never about DB content/state (it is a tooling, unit-test, filesystem, source-code-access, or artifact-capture limitation) - a clean DB does not change it. Not re-run live, since no DB-state change could affect this outcome.] [Re-checked 2026-09-29 against the BRD's own full rule text: still genuinely blocked - no new technique applies.]</t>
  </si>
  <si>
    <t>TC-BR-119</t>
  </si>
  <si>
    <t>BR-119</t>
  </si>
  <si>
    <t>Run Orchestration and Triggering</t>
  </si>
  <si>
    <t>TC-BR-120</t>
  </si>
  <si>
    <t>BR-120</t>
  </si>
  <si>
    <t>Data Platform and Interfaces</t>
  </si>
  <si>
    <t>TC-BR-121</t>
  </si>
  <si>
    <t>BR-121</t>
  </si>
  <si>
    <t>[OK] run queryable by its own id immediately after submission, before it settles | [OK] the run reached a terminal COMPLETED state | [OK] querying the same id again after settling still answers correctly | [OK] (coverage caveat, not a failure) only the UI file-upload route was exercised - the other route(s) this rule mentions are not reachable from this framework</t>
  </si>
  <si>
    <t>TC-BR-123</t>
  </si>
  <si>
    <t>BR-123</t>
  </si>
  <si>
    <t>[OK] baseline cycle completes normally with an HR1-complete line | [OK] baseline cycle also reaches HR2 (both stages run, in order) | [OK] a header/body record-count mismatch makes the run end as FAILED, not COMPLETED | [OK] HR2 never even attempts to run once HR1 has failed</t>
  </si>
  <si>
    <t>TC-BR-124</t>
  </si>
  <si>
    <t>BR-124</t>
  </si>
  <si>
    <t>[OK] first run creates exactly one contract row for this BD | [OK] second, identical run does not create a second row - repeating already-applied work has no further effect | [OK] the second run reports the bundle as rolled back/skipped rather than committed again</t>
  </si>
  <si>
    <t>TC-BR-127</t>
  </si>
  <si>
    <t>BR-127</t>
  </si>
  <si>
    <t>[OK] a per-record failure never stops the run - the control report still shows normal completion | [OK] the bad producer is rejected on its own (a per-record, not run-fatal, condition) | [OK] the sibling good producer (and its BD) still commit despite the other producer's rejection</t>
  </si>
  <si>
    <t>TC-BR-129</t>
  </si>
  <si>
    <t>BR-129</t>
  </si>
  <si>
    <t>[OK] detectChanges' skip-breakdown log line appears and counts the seeded node as a 'build failure', separately from 'malformed' and 'not on the node registry' (both correctly at 0 here, since neither was constructed this run) | [OK] detectChanges' unchanged-count log line appears and counts at least one entry as unchanged - separable from the skipped build-failure node above and from the changed firm | [OK] an activity code with no contract row is dropped from the extract with WARN 'UTT_ALL_CNTR lookup failed for activity code &lt;code&gt; ...' | [OK] Export/errfile-&lt;date&gt;.csv carries a D001 row for that code with blank nodeId/nodeType and blank sqlCode | [OK] the D001 code is reported only by the extract stage - absent from errfile-detectchanges, so it is separable from the D003 build failure</t>
  </si>
  <si>
    <t>TC-BR-132</t>
  </si>
  <si>
    <t>BR-132</t>
  </si>
  <si>
    <t>This rule's own trigger condition states: "Where: nowhere - BASIC2 is confirmed pure filler with no backing Java field; compareContract never compares it. Confirmed by reading the code, not by a runtime check." There is no live/DB/feed signal this rule could ever produce - it documents a code-level design decision, not an observable behaviour. Verify via source code review of compareContract, not through this UI/DB-driven framework. [Reviewed post-DB-cleanup, 2026-09-26: this blocker was never about DB content/state (it is a tooling, unit-test, filesystem, source-code-access, or artifact-capture limitation) - a clean DB does not change it. Not re-run live, since no DB-state change could affect this outcome.] [Re-checked 2026-09-29 against the BRD's own full rule text: still genuinely blocked - no new technique applies.]</t>
  </si>
  <si>
    <t>TC-BR-133</t>
  </si>
  <si>
    <t>BR-133</t>
  </si>
  <si>
    <t>[OK] producer A's A -&gt; T transition writes a termination transaction code (TE00TE) | [OK] producer B's T -&gt; I transition (neither reactivation nor termination) writes a distinct, non-termination/non-reactivation transaction code</t>
  </si>
  <si>
    <t>TC-BR-135</t>
  </si>
  <si>
    <t>BR-135</t>
  </si>
  <si>
    <t>[OK] node_relationship.relationship_status_code correctly moves to 'I'</t>
  </si>
  <si>
    <t>TC-BR-136</t>
  </si>
  <si>
    <t>BR-136</t>
  </si>
  <si>
    <t>[OK] an email-only address change writes no new org-level activity row, but a non-email address field change does</t>
  </si>
  <si>
    <t>TC-BR-139</t>
  </si>
  <si>
    <t>BR-139</t>
  </si>
  <si>
    <t>[OK] BD has a MAILING address row | [OK] IP has a BUSINESS address row | [OK] LLE has no second (MAILING/BUSINESS) address row</t>
  </si>
  <si>
    <t>TC-BR-140</t>
  </si>
  <si>
    <t>BR-140</t>
  </si>
  <si>
    <t>[OK] day2 (unrelated field change, blank HOME address unchanged) and day3 (another unchanged resend) both complete | [OK] day1: a brand-new record with a blank home address gets NO HOME row at all (only the BUSINESS row from D02) - confirmed correct by dev, not "inserted blank" | [OK] day2 inserts the previously-missing HOME row for the first time (the "BR-140 update path") even though its content is still blank, and it is NOT deleted despite the unrelated field change - per DEF-RDMS-BRV4-009's fix | [OK] the blank HOME row survives day3's resend too (still unchanged, still not deleted)</t>
  </si>
  <si>
    <t xml:space="preserve">DEF-RDMS-BRV4-003 - Not a defect; Closed - behaviour confirmed (dev repro)
DEF-RDMS-BRV4-009 - Valid defect; Fixed - awaiting QA 3-day TC-BR-140 retest
DEF-RDMS-BRV4-016 - Not a defect; Closed - confirmed via corrected TC</t>
  </si>
  <si>
    <t>TC-BR-144</t>
  </si>
  <si>
    <t>BR-144</t>
  </si>
  <si>
    <t>[OK] contract A now resolves to the SAME person/subject_id as contract B - it merged onto B's existing person row rather than creating a new one | [OK] A's old person row is documented as either orphaned (still present, now unreferenced) or removed - not silently duplicated</t>
  </si>
  <si>
    <t>TC-BR-147</t>
  </si>
  <si>
    <t>BR-147</t>
  </si>
  <si>
    <t>[OK] adsi_master.contract_record name columns for this node reflect the new middle name, leaving first/last unchanged</t>
  </si>
  <si>
    <t>TC-BR-148</t>
  </si>
  <si>
    <t>BR-148</t>
  </si>
  <si>
    <t>Master Update</t>
  </si>
  <si>
    <t>[OK] after the run, adsi_master.contract_record is found under the NEW key and no longer under the old one - the SAME contract_number (primary key) is retained across the alternate-key change, not duplicated</t>
  </si>
  <si>
    <t>TC-BR-149</t>
  </si>
  <si>
    <t>BR-149</t>
  </si>
  <si>
    <t>[OK] the brand-new contract (processed after one with designations) has an EMPTY designations array, not the previous item's data</t>
  </si>
  <si>
    <t>TC-BR-150</t>
  </si>
  <si>
    <t>BR-150</t>
  </si>
  <si>
    <t>Configuration and Retention</t>
  </si>
  <si>
    <t>TC-BR-151</t>
  </si>
  <si>
    <t>BR-151</t>
  </si>
  <si>
    <t>TC-BR-152</t>
  </si>
  <si>
    <t>BR-152</t>
  </si>
  <si>
    <t>Requires inspecting the application's own configuration file, source code, or running its developer unit-test suite (mvn test) directly - not observable through the application UI or its database. Verify manually with the development team. [Reviewed post-DB-cleanup, 2026-09-26: this blocker was never about DB content/state (it is a tooling, unit-test, filesystem, source-code-access, or artifact-capture limitation) - a clean DB does not change it. Not re-run live, since no DB-state change could affect this outcome.] [Re-checked 2026-09-29 against the BRD's own full rule text: still genuinely blocked - no new technique applies.]</t>
  </si>
  <si>
    <t>TC-BR-153</t>
  </si>
  <si>
    <t>BR-153</t>
  </si>
  <si>
    <t>TC-BR-154</t>
  </si>
  <si>
    <t>BR-154</t>
  </si>
  <si>
    <t>[OK] adsi_master.contract_record is an ordinary table keyed on contract_number (not a separate/special store) | [OK] adsi_master.organization_record is an ordinary table keyed on contract_number (not a separate/special store) | [OK] the alternate key (alternate_key_ssn_or_tin) is a plain, non-unique index - a second means of access into the SAME table, not a separate store</t>
  </si>
  <si>
    <t>TC-BR-155</t>
  </si>
  <si>
    <t>BR-155</t>
  </si>
  <si>
    <t>TC-BR-156</t>
  </si>
  <si>
    <t>BR-156</t>
  </si>
  <si>
    <t>Trigger condition requires confirming the artifact layout and COBOL copybooks on the application server's own output-directory filesystem, which this browser-driven Playwright framework has no access to (only the packaged "download all artifacts" ZIP is reachable, not the server's native directory layout). [Reviewed post-DB-cleanup, 2026-09-26: this blocker was never about DB content/state (it is a tooling, unit-test, filesystem, source-code-access, or artifact-capture limitation) - a clean DB does not change it. Not re-run live, since no DB-state change could affect this outcome.] [Re-checked 2026-09-29 against the BRD's own full rule text: still genuinely blocked - no new technique applies.]</t>
  </si>
  <si>
    <t>TC-BR-157</t>
  </si>
  <si>
    <t>BR-157</t>
  </si>
  <si>
    <t>Verification and Acceptance</t>
  </si>
  <si>
    <t>TC-BR-158</t>
  </si>
  <si>
    <t>BR-158</t>
  </si>
  <si>
    <t>This rule requires running the application's own Java unit tests (AdsiMasterUpdateServiceTest, FeedIngestionLauncherTest) and then temporarily editing the application's source code (adding error handling / a Failed outcome) to confirm those tests fail once the preserved behaviour is "corrected". This needs direct access to the app's source code and build/test tooling, which this UI/DB-driven Playwright framework does not have. Verify by running those unit tests directly in the application's own codebase. [Reviewed post-DB-cleanup, 2026-09-26: this blocker was never about DB content/state (it is a tooling, unit-test, filesystem, source-code-access, or artifact-capture limitation) - a clean DB does not change it. Not re-run live, since no DB-state change could affect this outcome.] [Re-checked 2026-09-29 against the BRD's own full rule text: still genuinely blocked - no new technique applies.]</t>
  </si>
  <si>
    <t>TC-BR-159</t>
  </si>
  <si>
    <t>BR-159</t>
  </si>
  <si>
    <t>Trigger condition requires a "mainframe reference corpus staged" that is not present in this repository or environment (same class of external-material dependency noted in scripts/reissue_e2e.py's own docstring for the original suite). [Reviewed post-DB-cleanup, 2026-09-26: this blocker was never about DB content/state (it is a tooling, unit-test, filesystem, source-code-access, or artifact-capture limitation) - a clean DB does not change it. Not re-run live, since no DB-state change could affect this outcome.] [Re-checked 2026-09-29 against the BRD's own full rule text: still genuinely blocked - no new technique applies.]</t>
  </si>
  <si>
    <t>TC-BR-160</t>
  </si>
  <si>
    <t>BR-160</t>
  </si>
  <si>
    <t>TC-BR-256</t>
  </si>
  <si>
    <t>BR-256</t>
  </si>
  <si>
    <t>[OK] CNTLRPT: 'NUMBER OF BD CONTRACTS UPDATED IN ADB' = 1 and 'NUMBER OF BD CONTRACTS CREATED IN ADB' = 0 for the day2 run - the found row went down the update path | [OK] the SAME contract row is kept (node_id, pru_contract_number) and there is still exactly one contract row for this BD - no second row created | [OK] the update is applied to that row: resident_state = NY and updt_ts / updt_by_id move</t>
  </si>
  <si>
    <t>TC-BR-257</t>
  </si>
  <si>
    <t>BR-257</t>
  </si>
  <si>
    <t>[OK] the new BD routes to the create path (BD contracts created counter moves) | [OK] the new BD lands in the load output</t>
  </si>
  <si>
    <t>TC-BR-260</t>
  </si>
  <si>
    <t>BR-260</t>
  </si>
  <si>
    <t>[OK] one ORG_TO_BD row resolves this BD to its organization via the join</t>
  </si>
  <si>
    <t>TC-BR-261</t>
  </si>
  <si>
    <t>BR-261</t>
  </si>
  <si>
    <t>[OK] the new organisation routes to the create path (organizations created counter moves) | [OK] the new organisation lands in the load output</t>
  </si>
  <si>
    <t>TC-BR-264</t>
  </si>
  <si>
    <t>BR-264</t>
  </si>
  <si>
    <t>[OK] node row generated for the BD contract | [OK] one organization row saved for the single-bundle BD | [OK] ORG_TO_BD relationship links org (parent) to firm (child)</t>
  </si>
  <si>
    <t>TC-BR-268</t>
  </si>
  <si>
    <t>BR-268</t>
  </si>
  <si>
    <t>Validation - Organisation Consistency</t>
  </si>
  <si>
    <t>[OK] organization.org_name is untouched - no update is issued for a firm name that is unchanged from what is already stored | [OK] no 'Organization &lt;code&gt; renamed to ...' log line appears for this org code - contrasting with TC-BR-269, which confirmed that exact log line DOES fire when the name genuinely changes - verifying this in the logs, not a downloadable report, matching the rule's own verification basis</t>
  </si>
  <si>
    <t>TC-BR-269</t>
  </si>
  <si>
    <t>BR-269</t>
  </si>
  <si>
    <t>[OK] organization.org_name now equals the new firm name, while org_code/org_initials/org_subject_id stay UNCHANGED - a rename does not re-issue identifiers | [OK] activity_log_entry.transaction_code = 'ORO2OR' for this org code, exactly as this rule's own text specifies (and matching the same code TC-BR-305 independently found for a different org-level transition)</t>
  </si>
  <si>
    <t>TC-BR-295</t>
  </si>
  <si>
    <t>BR-295</t>
  </si>
  <si>
    <t>Validation - Contract and Subject Existence</t>
  </si>
  <si>
    <t>[OK] exactly one contract row for this allstate_id both before and after - no duplicate row created by re-ingesting the same identity</t>
  </si>
  <si>
    <t>TC-BR-305</t>
  </si>
  <si>
    <t>BR-305</t>
  </si>
  <si>
    <t>[OK] activity_log_entry.transaction_code records a real transaction for this org code once it moves back to active - the org-level code (ORO2OR) differs from the producer-level reactivation code (RA00RA) TC-BR-133 confirmed, which is itself a useful, documented distinction</t>
  </si>
  <si>
    <t>TC-BR-306</t>
  </si>
  <si>
    <t>BR-306</t>
  </si>
  <si>
    <t>[OK] relationship_end_date stored as NULL (not the literal sentinel)</t>
  </si>
  <si>
    <t>TC-BR-307</t>
  </si>
  <si>
    <t>BR-307</t>
  </si>
  <si>
    <t>[OK] relationship_end_date stored as NULL for the firm profile termination sentinel</t>
  </si>
  <si>
    <t>TC-BR-308</t>
  </si>
  <si>
    <t>BR-308</t>
  </si>
  <si>
    <t>[OK] node_relationship.updt_ts is NOT stamped by a profile-type/relationship-start-date change alone</t>
  </si>
  <si>
    <t>TC-BR-313</t>
  </si>
  <si>
    <t>BR-313</t>
  </si>
  <si>
    <t>Validation - Tax Identifier Consistency</t>
  </si>
  <si>
    <t>[OK] producer A moves to its own new person row, while producer B stays on the original shared person row - the two contracts are no longer both pointing at the same subject_id</t>
  </si>
  <si>
    <t>TC-BR-316</t>
  </si>
  <si>
    <t>BR-316</t>
  </si>
  <si>
    <t>[OK] contract.subject_id is unchanged and no duplicate person row is created for the same SSN</t>
  </si>
  <si>
    <t>TC-BR-317</t>
  </si>
  <si>
    <t>BR-317</t>
  </si>
  <si>
    <t>Validation - Profile Change Detection</t>
  </si>
  <si>
    <t>[OK] pru_adb.organization.org_name reflects the new firm name | [OK] a new activity_log_entry row is written for the org code once its name genuinely changes</t>
  </si>
  <si>
    <t>TC-BR-318</t>
  </si>
  <si>
    <t>BR-318</t>
  </si>
  <si>
    <t>[OK] day1 baseline bundle committed | [OK] day2 byte-identical standalone resubmission completes without error, and - per DEF-RDMS-BRV4-011's fix - is now a true no-op: firm.updt_ts stays unstamped | [OK] day3 standalone update with one field genuinely changed completes and stamps firm.updt_ts</t>
  </si>
  <si>
    <t>TC-BR-319</t>
  </si>
  <si>
    <t>BR-319</t>
  </si>
  <si>
    <t>[OK] contract_history gains a new row for the real change (day2), and DEF-RDMS-BRV4-011's fix means the byte-identical day3 resubmission is now a true no-op (no further row)</t>
  </si>
  <si>
    <t xml:space="preserve">DEF-RDMS-BRV4-011 - Valid defect; Fixed - PASS for TC-BR-051/318; TC-BR-319 to re-target
DEF-RDMS-BRV4-016 - Not a defect; Closed - confirmed via corrected TC</t>
  </si>
  <si>
    <t>TC-BR-320</t>
  </si>
  <si>
    <t>BR-320</t>
  </si>
  <si>
    <t>[OK] pru_adb.person.updt_ts is stamped once the personal field genuinely changes</t>
  </si>
  <si>
    <t>TC-BR-321</t>
  </si>
  <si>
    <t>BR-321</t>
  </si>
  <si>
    <t>[OK] person.birth_date is populated with the 0001-01-01 placeholder (per DEF-RDMS-BRV4-004's fix), not left null/empty, for a new record with blank DOB</t>
  </si>
  <si>
    <t>DEF-RDMS-BRV4-004 - Valid defect; Fixed - QA retest PASS (deployed)</t>
  </si>
  <si>
    <t>TC-BR-322</t>
  </si>
  <si>
    <t>BR-322</t>
  </si>
  <si>
    <t>[OK] blanking the date of birth on an EXISTING producer via a standalone update stores the 0001-01-01 placeholder (per DEF-RDMS-BRV4-012's fix), rather than clearing it to NULL or leaving the prior real date in place</t>
  </si>
  <si>
    <t>DEF-RDMS-BRV4-012 - Valid defect (duplicate); Fixed - QA retest PASS (deployed)</t>
  </si>
  <si>
    <t>TC-BR-324</t>
  </si>
  <si>
    <t>BR-324</t>
  </si>
  <si>
    <t>Validation - Address Maintenance</t>
  </si>
  <si>
    <t>[OK] pru_adb.address.updt_ts (HOME row) is stamped once the address genuinely changes</t>
  </si>
  <si>
    <t>TC-BR-325</t>
  </si>
  <si>
    <t>BR-325</t>
  </si>
  <si>
    <t>[OK] pru_adb.address.updt_ts (BUSINESS row) is stamped once the address genuinely changes</t>
  </si>
  <si>
    <t>TC-BR-327</t>
  </si>
  <si>
    <t>BR-327</t>
  </si>
  <si>
    <t>[OK] email-only changes are excluded from org-level activity, while a genuine street-address change is included</t>
  </si>
  <si>
    <t>TC-BR-328</t>
  </si>
  <si>
    <t>BR-328</t>
  </si>
  <si>
    <t>Validation - Activity Recording</t>
  </si>
  <si>
    <t>[OK] no new org-level activity row for the email-only resubmission, exactly one new row for the subsequent genuine address-field change</t>
  </si>
  <si>
    <t>TC-BR-329</t>
  </si>
  <si>
    <t>BR-329</t>
  </si>
  <si>
    <t>[OK] each genuine change (relationship-only, then address+relationship together) writes at least one new org-level activity row</t>
  </si>
  <si>
    <t>TC-BR-372</t>
  </si>
  <si>
    <t>BR-372</t>
  </si>
  <si>
    <t>[OK] final master value reflects the update exactly once (not corrupted by 3 activity rows)</t>
  </si>
  <si>
    <t>TC-BR-373</t>
  </si>
  <si>
    <t>BR-373</t>
  </si>
  <si>
    <t>[OK] org-code activity updated organization_record | [OK] contract-code activity updated contract_record</t>
  </si>
  <si>
    <t>TC-BR-376</t>
  </si>
  <si>
    <t>BR-376</t>
  </si>
  <si>
    <t>[OK] day1 bundle committed: one person (shared SSN) holds two real contracts | [OK] contract B's master row exists and was marked before day2 | [OK] day2 trigger cycle (activity posted for contract A only) completes, and its HR2 finished | [OK] contract A's allstate_id still maps to exactly one contract (no duplicate appointment) | [OK] positive control: HR2 processed contract A's posted activity row (processed_ts stamped) | [OK] contract B (no activity of its own) is NOT pulled in and rebuilt when the processed contract is BROKER_DEALER</t>
  </si>
  <si>
    <t>TC-BR-388</t>
  </si>
  <si>
    <t>BR-388</t>
  </si>
  <si>
    <t>[OK] the seeded, deliberately-wrong prior value stuck before the rebuild | [OK] the newly-built org_type_code overwrites the seeded value back to the constant this app always produces | [OK] the comparison correctly detects the old vs new difference and writes an activity record for this subject, exactly as this rule describes</t>
  </si>
  <si>
    <t>TC-BR-389</t>
  </si>
  <si>
    <t>BR-389</t>
  </si>
  <si>
    <t>[OK] adsi_master.organization_record.org_status changed once the firm's own profile status moved to terminated</t>
  </si>
  <si>
    <t>TC-BR-390</t>
  </si>
  <si>
    <t>BR-390</t>
  </si>
  <si>
    <t>[OK] org_create_date never moves across any of these cycles (it is not a feed-sourced field), even while org_full_name updates on day3's genuine name change</t>
  </si>
  <si>
    <t>TC-BR-392</t>
  </si>
  <si>
    <t>BR-392</t>
  </si>
  <si>
    <t>[OK] adsi_master.organization_record.org_full_name reflects the new firm name</t>
  </si>
  <si>
    <t>TC-BR-393</t>
  </si>
  <si>
    <t>BR-393</t>
  </si>
  <si>
    <t>[OK] adsi_master.organization_record.address_line1 reflects the new business address</t>
  </si>
  <si>
    <t>TC-BR-394</t>
  </si>
  <si>
    <t>BR-394</t>
  </si>
  <si>
    <t>[OK] adsi_master.organization_record.phone_number reflects the new phone number</t>
  </si>
  <si>
    <t>TC-BR-395</t>
  </si>
  <si>
    <t>BR-395</t>
  </si>
  <si>
    <t>[OK] adsi_master.organization_record.fax_number reflects the new fax number</t>
  </si>
  <si>
    <t>TC-BR-396</t>
  </si>
  <si>
    <t>BR-396</t>
  </si>
  <si>
    <t>[OK] the seeded, deliberately-wrong prior value stuck before the rebuild | [OK] the newly-built buf_code overwrites the seeded value back to the constant this app always produces | [OK] the comparison correctly detects the old vs new difference and writes an activity record for this subject, exactly as this rule describes</t>
  </si>
  <si>
    <t>TC-BR-397</t>
  </si>
  <si>
    <t>BR-397</t>
  </si>
  <si>
    <t>[OK] the seeded, deliberately-wrong prior value actually stuck before the rebuild | [OK] the newly-built org_business_unit_code overwrites the seeded value back to the hardcoded 'PS', confirming the build always produces the same constant | [OK] the comparison correctly detects the old("XX") vs new("PS") difference and writes an activity record for this subject, exactly as this rule describes</t>
  </si>
  <si>
    <t>TC-BR-398</t>
  </si>
  <si>
    <t>BR-398</t>
  </si>
  <si>
    <t>[OK] the seeded, deliberately-wrong prior RMO/Region values stuck before the rebuild | [OK] both aos_rmo and aos_region overwrite back to the hardcoded constants ('N'/'X'), confirming the shared location indicator always rebuilds to the same values | [OK] the comparison correctly detects the old vs new difference and writes an activity record for this subject, exactly as this rule describes</t>
  </si>
  <si>
    <t>TC-BR-401</t>
  </si>
  <si>
    <t>BR-401</t>
  </si>
  <si>
    <t>[OK] new organization_record row appears, fully populated</t>
  </si>
  <si>
    <t>TC-BR-403</t>
  </si>
  <si>
    <t>BR-403</t>
  </si>
  <si>
    <t>[OK] Confirmed by extension: this rule's own text says "same as BR-029", and BR-029 (found in the BRD workbook, not tracked as its own TC) describes a key-mismatch (SSN/TIN/primary key/location/surname change) triggering a whole-row rewrite of adsi_master.contract_record for a non-Broker-Dealer contract - exactly what TC-BR-148 already automates and confirms live.</t>
  </si>
  <si>
    <t>TC-BR-404</t>
  </si>
  <si>
    <t>BR-404</t>
  </si>
  <si>
    <t>[OK] adsi_master.contract_record name columns reflect the new middle name</t>
  </si>
  <si>
    <t>TC-BR-405</t>
  </si>
  <si>
    <t>BR-405</t>
  </si>
  <si>
    <t>[OK] adsi_master.contract_record.designations reflects the new designations</t>
  </si>
  <si>
    <t>TC-BR-406</t>
  </si>
  <si>
    <t>BR-406</t>
  </si>
  <si>
    <t>[OK] adsi_master.contract_record.home_address_line1 reflects the new home address</t>
  </si>
  <si>
    <t>TC-BR-407</t>
  </si>
  <si>
    <t>BR-407</t>
  </si>
  <si>
    <t>[OK] adsi_master.contract_record.business_address_line1 reflects the new business address</t>
  </si>
  <si>
    <t>TC-BR-408</t>
  </si>
  <si>
    <t>BR-408</t>
  </si>
  <si>
    <t>[OK] adsi_master.contract_record.marital_status_code picks up the direct DB-level marital-status change once the contract is reprocessed this cycle</t>
  </si>
  <si>
    <t>TC-BR-409</t>
  </si>
  <si>
    <t>BR-409</t>
  </si>
  <si>
    <t>[OK] adsi_master.contract_record.citizenship_indicator picks up the direct DB-level citizenship change once the contract is reprocessed this cycle</t>
  </si>
  <si>
    <t>TC-BR-410</t>
  </si>
  <si>
    <t>BR-410</t>
  </si>
  <si>
    <t>[OK] adsi_master.contract_record.sex reflects the new sex code</t>
  </si>
  <si>
    <t>TC-BR-411</t>
  </si>
  <si>
    <t>BR-411</t>
  </si>
  <si>
    <t>[OK] adsi_master.contract_record.final_code is set once the relationship status becomes T (derived directly from node_relationship.relationship_status_code)</t>
  </si>
  <si>
    <t>TC-BR-413</t>
  </si>
  <si>
    <t>BR-413</t>
  </si>
  <si>
    <t>[OK] adsi_master.contract_record.final_org_code and status_code both update once the contract is terminated with a real end date</t>
  </si>
  <si>
    <t>TC-BR-414</t>
  </si>
  <si>
    <t>BR-414</t>
  </si>
  <si>
    <t>[OK] adsi_master.contract_record.final_org_code updates once the contract is terminated with a real end date (office_code/detach_office_code are copied as of that same run)</t>
  </si>
  <si>
    <t>TC-BR-415</t>
  </si>
  <si>
    <t>BR-415</t>
  </si>
  <si>
    <t>[OK] the seeded, deliberately-wrong prior value stuck before the rebuild, and genuinely differs from this producer's own naturally-built value | [OK] the newly-built marketer_type_code overwrites the seeded value back to this producer's own original, entity-type-derived value, confirming it cannot change after a contract is created | [OK] the comparison correctly detects the old vs new difference and writes an activity record for this subject, exactly as this rule describes</t>
  </si>
  <si>
    <t>TC-BR-416</t>
  </si>
  <si>
    <t>BR-416</t>
  </si>
  <si>
    <t>[OK] the seeded, deliberately-wrong prior value stuck before the rebuild, and genuinely differs from this producer's own naturally-built value | [OK] the newly-built marketer_subtype_code overwrites the seeded value back to this producer's own original, entity-type-derived value, confirming it cannot change after a contract is created | [OK] the comparison correctly detects the old vs new difference and writes an activity record for this subject, exactly as this rule describes</t>
  </si>
  <si>
    <t>TC-BR-417</t>
  </si>
  <si>
    <t>BR-417</t>
  </si>
  <si>
    <t>[OK] adsi_master.contract_record.birth_date reflects the new date of birth</t>
  </si>
  <si>
    <t>TC-BR-418</t>
  </si>
  <si>
    <t>BR-418</t>
  </si>
  <si>
    <t>[OK] adsi_master.contract_record.current_appointment_date reflects the new node_relationship.relationship_start_date</t>
  </si>
  <si>
    <t>TC-BR-419</t>
  </si>
  <si>
    <t>BR-419</t>
  </si>
  <si>
    <t>[OK] adsi_master.contract_record.crd_number is cut to 8 characters when the master record is built (per DEF-RDMS-BRV4-006's follow-up fix), not the full 10-digit CRD | [OK] day3 resending the SAME 10-digit CRD unchanged no longer produces a spurious "changed" signal - crd_number is stable and no new contract_history row is written</t>
  </si>
  <si>
    <t>DEF-RDMS-BRV4-006 - Working to spec (enhancement); Fixed - QA retest PASS (deployed)</t>
  </si>
  <si>
    <t>TC-BR-420</t>
  </si>
  <si>
    <t>BR-420</t>
  </si>
  <si>
    <t>[OK] adsi_master.contract_record.status_code reflects the new node_relationship.relationship_status_code</t>
  </si>
  <si>
    <t>TC-BR-421</t>
  </si>
  <si>
    <t>BR-421</t>
  </si>
  <si>
    <t>[OK] adsi_master.contract_record.business_telephone_number reflects the new business phone</t>
  </si>
  <si>
    <t>TC-BR-422</t>
  </si>
  <si>
    <t>BR-422</t>
  </si>
  <si>
    <t>[OK] adsi_master.contract_record.current_contract_date reflects the new node_relationship.relationship_start_date</t>
  </si>
  <si>
    <t>TC-BR-423</t>
  </si>
  <si>
    <t>BR-423</t>
  </si>
  <si>
    <t>[OK] adsi_master.contract_record.manager_appointment_current_location_date reflects the new node_relationship.relationship_start_date</t>
  </si>
  <si>
    <t>TC-BR-424</t>
  </si>
  <si>
    <t>BR-424</t>
  </si>
  <si>
    <t>[OK] the seeded, deliberately-wrong prior value stuck before the rebuild, and genuinely differs from this producer's own naturally-built value | [OK] the newly-built contract_prefix overwrites the seeded value back to this producer's own original, entity-type-derived value, confirming it cannot change after a contract is created | [OK] the comparison correctly detects the old vs new difference and writes an activity record for this subject, exactly as this rule describes</t>
  </si>
  <si>
    <t>TC-BR-425</t>
  </si>
  <si>
    <t>BR-425</t>
  </si>
  <si>
    <t>[OK] the seeded, deliberately-wrong prior value stuck before the rebuild, and genuinely differs from this producer's own naturally-built value | [OK] the newly-built contract_type overwrites the seeded value back to this producer's own original, entity-type-derived value, confirming it cannot change after a contract is created | [OK] the comparison correctly detects the old vs new difference and writes an activity record for this subject, exactly as this rule describes</t>
  </si>
  <si>
    <t>TC-BR-426</t>
  </si>
  <si>
    <t>BR-426</t>
  </si>
  <si>
    <t>[OK] the seeded, deliberately-wrong prior value stuck before the rebuild, and genuinely differs from this producer's own naturally-built value | [OK] the newly-built contract_plan_code overwrites the seeded value back to this producer's own original, entity-type-derived value, confirming it cannot change after a contract is created | [OK] the comparison correctly detects the old vs new difference and writes an activity record for this subject, exactly as this rule describes</t>
  </si>
  <si>
    <t>TC-BR-427</t>
  </si>
  <si>
    <t>BR-427</t>
  </si>
  <si>
    <t>[OK] adsi_master.contract_record.abbreviated_broker_name (the firm's own contract row) reflects the new abbreviated firm name</t>
  </si>
  <si>
    <t>TC-BR-428</t>
  </si>
  <si>
    <t>BR-428</t>
  </si>
  <si>
    <t>[OK] adsi_master.contract_record.status_code changes once the relationship status toggles to T | [OK] adsi_master.contract_record.second_line_management flips from populated (while active) to blank once the status is T</t>
  </si>
  <si>
    <t>TC-BR-429</t>
  </si>
  <si>
    <t>BR-429</t>
  </si>
  <si>
    <t>[OK] adsi_master.contract_record.basic1_business_fax_number reflects the new fax number fed under WS-HOME-FAX-NUM (a legacy quirk confirmed by dev: an IP's home fax lands in the business-fax master column)</t>
  </si>
  <si>
    <t>DEF-RDMS-BRV4-010 - Not a defect; Closed - QA retest PASS</t>
  </si>
  <si>
    <t>TC-BR-430</t>
  </si>
  <si>
    <t>BR-430</t>
  </si>
  <si>
    <t>[OK] the seeded, deliberately-wrong prior value stuck before the rebuild, and genuinely differs from this producer's own naturally-built value | [OK] the newly-built basic1_producer_contract_subtype_code overwrites the seeded value back to this producer's own original, entity-type-derived value, confirming it cannot change after a contract is created | [OK] the comparison correctly detects the old vs new difference and writes an activity record for this subject, exactly as this rule describes</t>
  </si>
  <si>
    <t>TC-BR-431</t>
  </si>
  <si>
    <t>BR-431</t>
  </si>
  <si>
    <t>[OK] adsi_master.contract_record.status_code changes once the relationship status toggles to T | [OK] adsi_master.contract_record.basic1_management_contract_subtype_code flips from populated (while active) to blank once the status is T</t>
  </si>
  <si>
    <t>TC-BR-432</t>
  </si>
  <si>
    <t>BR-432</t>
  </si>
  <si>
    <t>[OK] the seeded, deliberately-wrong prior value stuck before the rebuild, and genuinely differs from this producer's own naturally-built value | [OK] the newly-built basic1_aos_rmo overwrites the seeded value back to this producer's own original, entity-type-derived value, confirming it cannot change after a contract is created | [OK] the comparison correctly detects the old vs new difference and writes an activity record for this subject, exactly as this rule describes</t>
  </si>
  <si>
    <t>TC-BR-433</t>
  </si>
  <si>
    <t>BR-433</t>
  </si>
  <si>
    <t>[OK] the seeded, deliberately-wrong prior value stuck before the rebuild, and genuinely differs from this producer's own naturally-built value | [OK] the newly-built basic1_aos_region overwrites the seeded value back to this producer's own original, entity-type-derived value, confirming it cannot change after a contract is created | [OK] the comparison correctly detects the old vs new difference and writes an activity record for this subject, exactly as this rule describes</t>
  </si>
  <si>
    <t>TC-BR-434</t>
  </si>
  <si>
    <t>BR-434</t>
  </si>
  <si>
    <t>[OK] adsi_master.contract_record row is rebuilt for this node on the day2 cycle (business address changed as the trigger for a fresh basic1 rebuild)</t>
  </si>
  <si>
    <t>TC-BR-435</t>
  </si>
  <si>
    <t>BR-435</t>
  </si>
  <si>
    <t>[OK] adsi_master.contract_record.basic4_sections (JSONB) reflects the new resident state</t>
  </si>
  <si>
    <t>TC-BR-436</t>
  </si>
  <si>
    <t>BR-436</t>
  </si>
  <si>
    <t>FAIL</t>
  </si>
  <si>
    <t>[OK] day1 master record holds the mailing section (basic4 ALT_ADDRESS) | [NOT AS EXPECTED] adsi_master.contract_record.basic4_sections element count drops by one (e.g. 3 -&gt; 2) and the ALT_ADDRESS section is gone</t>
  </si>
  <si>
    <t>DEF-RDMS-BRV4-017 - Needs investigation; Open - awaiting dev triage</t>
  </si>
  <si>
    <t>TC-BR-438</t>
  </si>
  <si>
    <t>BR-438</t>
  </si>
  <si>
    <t>[OK] adsi_master.contract_record row is unchanged when the resubmitted record carries no real difference</t>
  </si>
  <si>
    <t>TC-BR-439</t>
  </si>
  <si>
    <t>BR-439</t>
  </si>
  <si>
    <t>[OK] new contract_record row appears, fully populated</t>
  </si>
  <si>
    <t>TC-BR-442</t>
  </si>
  <si>
    <t>BR-442</t>
  </si>
  <si>
    <t>Validation - Record Routing</t>
  </si>
  <si>
    <t>[OK] the organisation node produced exactly one organization_record row | [OK] that same code never also appears as a contract_record row (no cross-routing)</t>
  </si>
  <si>
    <t>TC-BR-443</t>
  </si>
  <si>
    <t>BR-443</t>
  </si>
  <si>
    <t>[OK] the contract node produced exactly one contract_record row | [OK] that same code never also appears as an organization_record row (no cross-routing)</t>
  </si>
  <si>
    <t>TC-BR-446</t>
  </si>
  <si>
    <t>BR-446</t>
  </si>
  <si>
    <t>[OK] an active organisation carries an active status and no elimination date</t>
  </si>
  <si>
    <t>TC-BR-459</t>
  </si>
  <si>
    <t>BR-459</t>
  </si>
  <si>
    <t>[OK] a producer WITH a birth date on file carries the real date onto the master record | [OK] a producer with NO birth date on file gets the 0001-01-01 placeholder on the master record (per DEF-RDMS-BRV4-004's fix, confirmed not a defect per DEF-RDMS-BRV4-007 - the earlier NULL expectation was this harness misreading the DATE column as a JS Date object), not converted from an absent value some other way</t>
  </si>
  <si>
    <t>DEF-RDMS-BRV4-007 - Not a defect; Closed - QA retest PASS</t>
  </si>
  <si>
    <t>TC-BR-465</t>
  </si>
  <si>
    <t>BR-465</t>
  </si>
  <si>
    <t>[OK] a relationship WITH a start date carries that one date into all three appointment/contract date fields | [OK] a relationship with a DB-seeded NULL start date, then HR2-rebuilt, leaves all three master-record date fields empty</t>
  </si>
  <si>
    <t>DEF-RDMS-BRV4-008 - Not a defect; Closed - QA retest PASS</t>
  </si>
  <si>
    <t>TC-BR-468</t>
  </si>
  <si>
    <t>BR-468</t>
  </si>
  <si>
    <t>TC-BR-470</t>
  </si>
  <si>
    <t>BR-470</t>
  </si>
  <si>
    <t>[OK] the individual producer carries a producer contract subtype code, padded to two characters (not truncated) | [OK] the firm (a different entity family) carries a different subtype value than the producer</t>
  </si>
  <si>
    <t>TC-BR-471</t>
  </si>
  <si>
    <t>BR-471</t>
  </si>
  <si>
    <t>[OK] the management contract subtype is never set on a firm record</t>
  </si>
  <si>
    <t>TC-BR-478</t>
  </si>
  <si>
    <t>BR-478</t>
  </si>
  <si>
    <t>[OK] cycle completed | [OK] a subject with activity but no prior master record gets a new master row written on the very next sync</t>
  </si>
  <si>
    <t>TC-BR-479</t>
  </si>
  <si>
    <t>BR-479</t>
  </si>
  <si>
    <t>[OK] the SAME contract_number key is updated in place - one row, new field value - not duplicated or re-keyed</t>
  </si>
  <si>
    <t>TC-BR-480</t>
  </si>
  <si>
    <t>BR-480</t>
  </si>
  <si>
    <t>Re-investigated 2026-09-29 across 4 distinct constructions, none of which reached the actual rule condition: (1) a standalone D01+D02 update with WS-SOC-SEC-NUM blanked - silently skipped, no delete, no error; (2) same but with WS-ALLSTATE-ID blanked instead - also silently skipped; (3) a direct activity_log_entry row with a blank pru_contract_or_org_code (the DB-seed technique used for TC-BR-022/024/034) - the blank code never matched anything and produced zero effect; (4) deleting the underlying pru_adb.contract/node entirely so the code has no live source - this deliberately-orphaned code hit a DIFFERENT, earlier rejection path instead: WARN "UTT_ALL_CNTR lookup failed for activity code &lt;code&gt; - dropping from today's extract, reporting D001 in the ERRFILE artifact" - a live, useful discovery (this is the exact D001/malformed mechanism TC-BR-129 could not construct), but not this rule's own condition. A BRD source-code excerpt (UTP28001, paragraph 3000-DET-ADSI-PROCESS-PARA) confirms "current key" and "prior key" are both fields on an internally-built ALL-ADSI-ACT-CNTR-RECORD activity structure, computed fresh each cycle from live pru_adb state - but the precise condition that makes the computed "current key" come back blank (without either being silently ignored or hitting the D001 UTT_ALL_CNTR path first) was not identified this pass. Needs dev source access or a direct dev conversation about ALL-ADSI-ACT-CNTR-RECORD/UTT_ALL_CNTR construction, not further guessing.</t>
  </si>
  <si>
    <t>TC-BR-483</t>
  </si>
  <si>
    <t>BR-483</t>
  </si>
  <si>
    <t>[OK] designations array is populated (not empty) on the master row | [OK] basic4_sections array is populated (not empty) on the master row</t>
  </si>
  <si>
    <t>TC-BR-484</t>
  </si>
  <si>
    <t>BR-484</t>
  </si>
  <si>
    <t>[OK] contract with no designations copies zero (empty array), not skipped or null | [OK] contract with designations copies a matching non-zero count</t>
  </si>
  <si>
    <t>Suggested Status</t>
  </si>
  <si>
    <t>Count</t>
  </si>
  <si>
    <t>What it means</t>
  </si>
  <si>
    <t>Stays blocked - environment / manual</t>
  </si>
  <si>
    <t>Real environment dependency; needs a one-off manual check by dev/ops.</t>
  </si>
  <si>
    <t>Dev-verified - unit test / code review</t>
  </si>
  <si>
    <t>Code-level rule; close with a dev-supplied unit test reference.</t>
  </si>
  <si>
    <t>Unblock - retest via standalone update feed</t>
  </si>
  <si>
    <t>B0700 is correct. Updates go through standalone C / D01+D02 records outside a bundle, not a re-sent bundle.</t>
  </si>
  <si>
    <t>(resolved this session - moved to PASS/FAIL)</t>
  </si>
  <si>
    <t>See final-verdict-report-brv4.xlsx for the full PASS/FAIL breakdown. TC-BR-480 remains blocked after 4 investigated constructions (see its own Claude Notes) - not counted as resolved.</t>
  </si>
  <si>
    <t>Dev re-check 2026-10-01 (21 still blocked as of 2026-10-02)</t>
  </si>
  <si>
    <t>TCs</t>
  </si>
  <si>
    <t>Close - verified by dev test/code</t>
  </si>
  <si>
    <t>451, 006, 030, 076, 119, 132, 155, 158, 480</t>
  </si>
  <si>
    <t>Close - not applicable (no observable behaviour)</t>
  </si>
  <si>
    <t>068, 085, 118, 120, 151, 152, 153, 156, 157, 160</t>
  </si>
  <si>
    <t>Unblock - QA can test via DB seed</t>
  </si>
  <si>
    <t>150</t>
  </si>
  <si>
    <t>Stays blocked - ops/manual check</t>
  </si>
  <si>
    <t>159</t>
  </si>
  <si>
    <t>Total</t>
  </si>
  <si>
    <t>Note</t>
  </si>
  <si>
    <t>All cited tests were in the 2026-09-28/30 full run: 958/958 unit + 206/206 integration green. Only TC-BR-159 still needs a one-off check (mainframe reference corpus). TC-BR-150 was proven on PostgreSQL: 30 seeded rows -&gt; 25 codes.</t>
  </si>
  <si>
    <t>Testability of the 21 (updated 2026-10-02)</t>
  </si>
  <si>
    <t>Proposed Verdict</t>
  </si>
  <si>
    <t>QA - can test now</t>
  </si>
  <si>
    <t>To be tested by QA</t>
  </si>
  <si>
    <t>QA - needs one extra artifact</t>
  </si>
  <si>
    <t>- (TC-BR-117 unblocked 2026-10-02: Export/errfile-detectchanges is in the ZIP since dev commit 080c502; automated, now PASS)</t>
  </si>
  <si>
    <t>-</t>
  </si>
  <si>
    <t>Dev - unit/integration test</t>
  </si>
  <si>
    <t>006, 030, 076, 119, 132, 158, 451, 480</t>
  </si>
  <si>
    <t>Verified by dev test</t>
  </si>
  <si>
    <t>Ops - one-off manual check</t>
  </si>
  <si>
    <t>159, 155, 156</t>
  </si>
  <si>
    <t>Needs one-off manual check</t>
  </si>
  <si>
    <t>Nothing to test</t>
  </si>
  <si>
    <t>068, 085, 118, 120, 151, 152, 153, 157, 160</t>
  </si>
  <si>
    <t>Not Applicable</t>
  </si>
  <si>
    <t>Summary</t>
  </si>
  <si>
    <t>Latest report (2026-10-02): 167 PASS / 1 FAIL / 21 BLOCKED. The only FAIL is TC-BR-436 (DEF-RDMS-BRV4-017, awaiting dev triage). Of the 21 blocked, 9 are Not Applicable, 8 are verified by dev tests, 3 need a one-off ops/owner check, and TC-BR-150 is waiting on dev (INFO log line or close as dev-verified). See the QA Testability 2026-10-02 sheet.</t>
  </si>
  <si>
    <t>Dev Assessment (2026-09-28)</t>
  </si>
  <si>
    <t>Unblock Approach</t>
  </si>
  <si>
    <t>QA Notes (2026-09-29)</t>
  </si>
  <si>
    <t>Dev Re-check (2026-10-01)</t>
  </si>
  <si>
    <t>Final Recommendation</t>
  </si>
  <si>
    <t>Can It Be Tested?</t>
  </si>
  <si>
    <t>Who Can Test</t>
  </si>
  <si>
    <t>How</t>
  </si>
  <si>
    <t>Verification method relies on opening the ADSIMSTR mainframe-vs-Java comparator HTML file and/or a specific dated reference SQLDUMP. The source workbook itself documents this comparator as unreliable (cannot parse the real COBOL layout, produces mis-sliced records) - not a dependable basis for an automated PASS/FAIL result. Treat as a manual, secondary cross-check only, per the workbook's own guidance (ASM-03).</t>
  </si>
  <si>
    <t>The blocker is real: it needs server filesystem/process/infra access, an external reference corpus, or the comparator (documented as unreliable). This is not a product defect.</t>
  </si>
  <si>
    <t>Assign to dev/ops for a one-off manual check, and record the evidence and who ran it. For comparator-based rules, use SQLDUMP/ADSIMSTR field checks instead where possible.</t>
  </si>
  <si>
    <t>Re-investigated 2026-09-29. Confirmed doubly gated: (1) pru_adb.contract.entity_type carries a live CHECK constraint restricting it to exactly BROKER_DEALER/LICENSED_LIFE_ENTITY/HOUSE_ACCOUNT/INVESTMENT_PROFESSIONAL, and (2) BR-064's own upstream HR1 validation independently refuses (C0716) any entity type outside that same set before a contract is ever created. An entity type outside the four recognised kinds can never reach the master-build routine via any feed input - confirmed via both the DB constraint and the upstream validation rule. Would need a direct unit test bypassing HR1 entirely, not a live/DB technique.</t>
  </si>
  <si>
    <t>Agree it is unreachable live - doubly gated, exactly as QA found. Evidence that the gate holds: BundleProcessorImplTest#aFirmRecordWhoseEntityTypeIsUnrecognisedIsAlsoC0716 / #aFirmRecordCarryingEntityTypeIpIsRejectedAsC0716, plus the contract.entity_type CHECK constraint. In Java the entity type is an enum, so a fifth kind cannot exist in memory either; the 'no build, no error' branch has no Java counterpart to reach.</t>
  </si>
  <si>
    <t>Yes (dev only)</t>
  </si>
  <si>
    <t>The feed validation (C0716) and the DB CHECK constraint block any fifth entity type; covered by BundleProcessorImplTest.</t>
  </si>
  <si>
    <t>Requires access to the application server's own filesystem, process control, alternate trigger mechanisms (folder drop, HTTP endpoint, rescan cron), or infrastructure configuration (backup/PITR) - none of which this browser-driven Playwright framework can reach. Verify manually with the dev/ops team.</t>
  </si>
  <si>
    <t>Re-checked 2026-09-29 against the BRD's full rule text (restart-from-position: reads a restart record for the exact byte/record position of the last-processed firm/person and resumes there). Genuinely requires killing a run mid-file and inspecting/forcing the restart record's own state, which needs server process control this framework does not have. No live/DB alternative identified.</t>
  </si>
  <si>
    <t>Restart-from-checkpoint is covered by tests: AllstateFeedIngestionServiceTest#aRestartRunSkipsBundlesAtOrBeforeTheCheckpointedPosition and #aRestartRunWithNoExistingCheckpointProcessesEveryBundle, and BundleProcessorTransactionIT#aCommittedBundleWithARestartContextWritesACheckpointRow and #aRolledBackBundleWithARestartContextWritesNoCheckpointRow. Killing a live run mid-file remains an optional ops drill.</t>
  </si>
  <si>
    <t>Yes (dev); optional ops drill</t>
  </si>
  <si>
    <t>Covered by the restart/checkpoint tests. Optional live evidence: ops deliberately stops a run mid-file and restarts it.</t>
  </si>
  <si>
    <t>This rule's own text states its condition cannot be independently verified or reproduced through the modernised application: "Where: nowhere persisted. These prior values - prior key, prior subject id, prior RMO, prior region, prior org type code, prior org full name - are pulled from the old master record at the moment of comparison, attached alongside the new values on that same run's activity record, and used right there to work out what changed - then discarded once that step finishes". Verify manually per the rule's own guidance.</t>
  </si>
  <si>
    <t>Genuinely not observable through the UI/DB/feed framework; the rule describes in-memory or code-level behaviour. QA's reason is correct. It can be closed on developer evidence rather than left BLOCKED: the full unit suite (958 tests) and integration suite (203 tests) were run green on 2026-09-28.</t>
  </si>
  <si>
    <t>Ask dev to cite the specific test (class#method) or code line for each rule. Record the verdict as 'Verified (unit test)' with that reference instead of BLOCKED.</t>
  </si>
  <si>
    <t>Re-investigated 2026-09-29. The rule's own BRD text implies the prior key/subject id/RMO/region/org type/name are persisted on the activity record alongside the new values - but a direct query of every column in pru_adb and adsi_master (information_schema.columns) confirms there is NO prior_* column anywhere in this modernised schema. pru_adb.activity_log_entry carries only the new-side transaction_code/subject_id/timestamp, nothing framed as "prior". Confirmed genuinely not observable by direct schema inspection, not just by re-reading the rule text - no live/DB alternative exists.</t>
  </si>
  <si>
    <t>Agree - there is no prior_* column. In Java the prior key/subject id/RMO/region/org type/org name are fields of the in-memory HrActivityRecord built by AdsiChangeDetectionService.compareOne (priorPrimaryKey, priorSubjectId, priorAosRmo, ...) and discarded after the run - which is what the rule says. Covered by AdsiMasterUpdateServiceTest#addsWhenPriorKeyIsBlank / #updatesWhenPriorKeyMatchesCurrentRecordKey / #keyChangeToAMissingPriorContractNumberThrowsMasterRecordNotFoundException.</t>
  </si>
  <si>
    <t>The prior values live only in memory on HrActivityRecord; the AdsiMasterUpdateService prior-key tests cover them.</t>
  </si>
  <si>
    <t>Re-checked 2026-09-29 against the BRD's full rule text (the comparison and the master update share no state except a single activity file - an internal COBOL-program-boundary claim). This is an architectural/internal-interface fact, not independently checkable by feeding data and observing DB state. No live/DB alternative identified.</t>
  </si>
  <si>
    <t>Architectural statement. In Java, detectChanges hands its List&lt;HrActivityRecord&gt; straight to AdsiMasterUpdateService.applyActivity (HrMasterSyncRunner.run), and the prior state is read from adsi_master - no other shared state. Covered by HrMasterSyncRunnerTest#passesTheStoresActualLastUpdatedDateAsThePriorMasterDateNotYesterday.</t>
  </si>
  <si>
    <t>Architecture statement (handoff between stages); no behaviour to observe.</t>
  </si>
  <si>
    <t>Re-investigated 2026-09-29. Confirmed via the BRD's own COBOL excerpt (2000-PROCESS-PARA) that PROCESS-ID is an internal parameter passed to the master-build service by its OWN CALLER (another internal batch step) - there is no feed field or externally reachable input that selects it. Every path this framework can drive (feed upload, standalone update) always supplies a valid organisation-or-contract marker. Genuinely unreachable via any external input - would need a direct internal service-method invocation (e.g. a dev-side unit test calling the build routine with a bogus PROCESS-ID) rather than anything this Playwright/DB framework can drive.</t>
  </si>
  <si>
    <t>Agree - PROCESS-ID is internal. Java replaces it with the NodeType enum, so an 'unrecognised marker' cannot be represented. An invalid node type is rejected as D002 instead: AdsiChangeDetectionServiceTest#writesD002ForAnInvalidNodeType.</t>
  </si>
  <si>
    <t>An unrecognised process marker cannot be represented (NodeType enum); the D002 test covers invalid node types.</t>
  </si>
  <si>
    <t>Re-investigated 2026-09-29. The rule describes a legacy cursor-fetches-first ambiguity when an organisation holds more than one raw address row of the same kind. Direct schema inspection shows pru_adb.address has PRIMARY KEY (ssn_or_contract_number, address_type, purpose_code) - this app cannot hold two rows of the same address kind for one contract; a second incoming address of the same kind always updates the existing row in place (confirmed live via TC-BR-088, now PASS/FAIL on its own separate finding) rather than creating the ambiguous duplicate the rule is about. The scenario is structurally unconstructable in this schema - not just untested, provably impossible to trigger via any feed input.</t>
  </si>
  <si>
    <t>Agree - provably unconstructable: pru_adb.address PK (ssn_or_contract_number, address_type, purpose_code) permits only one row of a kind, so the 'first row from the cursor' ambiguity cannot arise.</t>
  </si>
  <si>
    <t>Impossible with this schema: the address primary key allows one row per kind.</t>
  </si>
  <si>
    <t>This rule's own text states its condition cannot be independently verified or reproduced through the modernised application: "1. NO DIRECT COUNTERPART: the modernised app manages its own database connections, so no cursor is left open between subjects". Verify manually per the rule's own guidance.</t>
  </si>
  <si>
    <t>Re-checked 2026-09-29 against the BRD's full rule text: describes COBOL cursor open/close flags with no counterpart in the modernised app, which manages its own connection pooling. The rule's own text says so explicitly ("NO DIRECT COUNTERPART") - confirmed there is nothing in this architecture to observe.</t>
  </si>
  <si>
    <t>Agree - the rule itself says there is no direct counterpart (Spring/JDBC manages connections).</t>
  </si>
  <si>
    <t>COBOL cursor handling; no Java equivalent.</t>
  </si>
  <si>
    <t>Re-checked 2026-09-29 against the BRD's full rule text: three trigger routes (folder watch, periodic re-scan, direct HTTP request) must all reach the same processing. Confirming the folder-watch and re-scan paths needs server filesystem access this framework does not have; only the direct-request path is reachable via the UI. No live/DB alternative identified for the other two routes.</t>
  </si>
  <si>
    <t>All three routes are covered by tests: FolderWatchTriggerIT#aFileLandingInTheDirectoryTriggersACompletedRun (folder watch), LandingDirectoryScannerTest (periodic rescan), IngestionTriggerIT and HttpIngestionTriggerControllerTest (direct HTTP). All reach FeedIngestionLauncher.launch.</t>
  </si>
  <si>
    <t>Partly QA; rest dev</t>
  </si>
  <si>
    <t>QA can already test the HTTP route through the UI. The folder-watch and rescan routes are covered by FolderWatchTriggerIT / LandingDirectoryScannerTest (they need server access to test live).</t>
  </si>
  <si>
    <t>Re-checked 2026-09-29 against the BRD's full rule text: the inbound file transfer is explicitly out of this process's own responsibility (an external FTP/ops-owned sync process). There is nothing for this application-level framework to test - confirmed as a genuine non-responsibility statement, not an omission.</t>
  </si>
  <si>
    <t>Agree - file transfer into the landing folder is outside the application (ops/FTP).</t>
  </si>
  <si>
    <t>File transfer into the landing folder is outside the app (ops/FTP).</t>
  </si>
  <si>
    <t>Trigger condition requires a pre-existing master-DB baseline state (see Isolation Requirement) that this framework cannot seed without direct database access - only a DB fixture, not a feed, can establish it here. Verify manually via: Observed directly against the modernised application (see Verification Basis)</t>
  </si>
  <si>
    <t>Re-checked 2026-09-29 against the BRD's full rule text: one section (the trailer) is deliberately excluded from the old-vs-new comparison. The rule's OWN text states "no output of the process would reveal the omission" - this is definitionally unobservable by design, unlike the related hardcoded-field rules (BR-388 etc.) this session did unblock, where the output field itself was observable even though the trigger was hardcoded. No live/DB alternative exists here because the rule's premise is that changing this section produces zero externally visible effect.</t>
  </si>
  <si>
    <t>Agree it is unobservable by design. Code evidence: AdsiChangeDetectionService.compareContract has no BASIC2 comparison (BASIC2 is filler with no Java field); UTP27901 likewise excludes it. Dev can add a unit test pinning the omission if the BA wants explicit evidence.</t>
  </si>
  <si>
    <t>Unobservable in output by design. Evidence is the code: compareContract has no BASIC2 comparison. Dev can add a pinning unit test if the BA wants one.</t>
  </si>
  <si>
    <t>Re-checked 2026-09-29 against the BRD's full rule text: a configured ceiling (25 transaction codes per item) silently discards codes beyond it. Unlike most other "config value" rules, this ONE may actually be constructible live - feed 26+ genuinely distinct field changes for a single contract in one cycle and confirm only 25 activity rows are retained for it. Not attempted this round due to high construction complexity (reliably forcing 26 distinct detected changes on one contract) for uncertain payoff - flagging this as the one item in this bucket worth a second look if there's appetite for it.</t>
  </si>
  <si>
    <t>CONSTRUCTIBLE - and much simpler than 26 feed changes. Dev verified 2026-10-01 on PostgreSQL: 30 activity_log_entry rows seeded for one contract on the feed date -&gt; HrActivityExtractService emitted ONE entry carrying exactly 25 transaction codes (the ingestion.max-transaction-codes-per-entity default, HrActivityExtractService:147). QA: use the existing DB-seed technique (activity_ts on the feed date, processed_ts NULL, real contract code), trigger HR2, and check the item carries 25 codes. The 'raise the setting' half is a config change (application.yml) that only dev/ops can make.</t>
  </si>
  <si>
    <t>Seed ~30 activity_log_entry rows for one contract on the feed date (processed_ts NULL), trigger HR2, and check the item carries exactly 25 transaction codes. Already confirmed by dev on PostgreSQL.</t>
  </si>
  <si>
    <t>Re-checked 2026-09-29 against the BRD's full rule text: master recovery is a function of the DB store's own point-in-time-recovery facility (ops/DBA-owned); the process itself performs no step and reports nothing about it. Nothing for this framework to test - confirmed as a genuine non-responsibility statement.</t>
  </si>
  <si>
    <t>Agree - point-in-time recovery belongs to the database/DBA; the application takes no copy.</t>
  </si>
  <si>
    <t>Database point-in-time recovery is owned by the DBA; the app does nothing here.</t>
  </si>
  <si>
    <t>Requires inspecting the application's own configuration file, source code, or running its developer unit-test suite (mvn test) directly - not observable through the application UI or its database. Verify manually with the development team.</t>
  </si>
  <si>
    <t>Re-checked 2026-09-29 against the BRD's full rule text: documents a deliberate "this is a decision, not a setting" design philosophy (identifier-generation alphabets, duplicate-TIN handling) so it can't be silently reversed via config. This is a meta/documentation-level statement about the codebase's own configuration philosophy, not a live, observable behaviour.</t>
  </si>
  <si>
    <t>Agree - a documentation/philosophy statement; application.yml holds only optional-output switches.</t>
  </si>
  <si>
    <t>Documentation/philosophy statement about configuration.</t>
  </si>
  <si>
    <t>Re-checked 2026-09-29 against the BRD's full rule text: an architectural "sole writer of partner-sourced change, but not sole writer of the tables" claim. Confirming this would mean proving the ABSENCE of other writers to the same tables - not something observable through this feed-driven framework.</t>
  </si>
  <si>
    <t>Agree - proving the absence of other writers is not testable; confirm with the architecture owner.</t>
  </si>
  <si>
    <t>Architecture statement (only writer of partner changes); absence of other writers is not testable.</t>
  </si>
  <si>
    <t>Re-checked 2026-09-29 against the BRD's full rule text: the daily activity extract is a stable, durable interface because a separate licensing system consumes it. The extract's existence and stable per-subject structure is already exercised by every ADSIMSTR-reading TC this session added (BR-083/104/107/109/111/468/089), but the rule's own specific claim (a named downstream consumer's contract) isn't independently confirmable from this side alone.</t>
  </si>
  <si>
    <t>The extract/errfile is written as real files: ErrorArtifactExportServiceTest#exportActivityErrorsFixedWidthMatchesTheRealSmeCaptureByteForByte and HrActivityExtractServiceIT#anUnresolvableCodeIsDroppedAndReportedAsAD001ErrfileEntry. The downstream consumer's contract is a business/interface agreement - confirm with the licensing-system owner.</t>
  </si>
  <si>
    <t>Partly</t>
  </si>
  <si>
    <t>The file side is covered by tests; the licensing-system owner confirms they consume the extract.</t>
  </si>
  <si>
    <t>Trigger condition requires confirming the artifact layout and COBOL copybooks on the application server's own output-directory filesystem, which this browser-driven Playwright framework has no access to (only the packaged "download all artifacts" ZIP is reachable, not the server's native directory layout).</t>
  </si>
  <si>
    <t>Re-checked 2026-09-29 against the BRD's full rule text: outbound file exchange stays FTP/SFTP-based, no new transport introduced. This is an infra/transport-level claim, not observable through the application UI or its database.</t>
  </si>
  <si>
    <t>Transport (FTP/SFTP) is infrastructure. Legacy layouts are asserted by HrPipelineEndToEndIT#theSampleFeedsLoadFileCarriesAStatusOnEveryRowAndSpacesForAnAbsentParent and the copybook writer tests.</t>
  </si>
  <si>
    <t>The layouts are covered by tests; ops confirms the transport stays FTP/SFTP.</t>
  </si>
  <si>
    <t>Re-checked 2026-09-29 against the BRD's full rule text: a meta-rule that every rule in the BRD catalogue must have its own asserting test. This project's own broader effort is what satisfies this rule as a byproduct - it isn't itself a live app behaviour to check.</t>
  </si>
  <si>
    <t>Agree - a meta-rule satisfied by this verdict report itself.</t>
  </si>
  <si>
    <t>Meta rule - satisfied by this verdict report itself.</t>
  </si>
  <si>
    <t>Re-checked 2026-09-29 against the BRD's full rule text: requires the dev's OWN Java unit tests (AdsiMasterUpdateServiceTest, FeedIngestionLauncherTest) to exist and assert 4 named "preserve as-is" quirks, then temporarily break the code to confirm those tests would catch a regression. This needs direct source/build access this framework does not have.</t>
  </si>
  <si>
    <t>The preserve-as-is quirks are pinned by tests that would fail if 'corrected': AdsiMasterUpdateServiceTest#aWriteFailurePropagatesUnchangedAndStopsTheRunWithoutAFailedOutcome (the swallowed master-write failure, D1) and FeedIngestionLauncherTest#aFailedMasterSyncRunDoesNotPropagateOrFailTheIngestionRun (log-and-swallow), plus the MI00MI default (D7) in ProducerAppointmentServiceImpl.upsertRelationship.</t>
  </si>
  <si>
    <t>The preserve-as-is quirks are pinned by AdsiMasterUpdateServiceTest and FeedIngestionLauncherTest.</t>
  </si>
  <si>
    <t>Trigger condition requires a "mainframe reference corpus staged" that is not present in this repository or environment (same class of external-material dependency noted in scripts/reissue_e2e.py's own docstring for the original suite).</t>
  </si>
  <si>
    <t>Re-checked 2026-09-29 against the FULL registry entry (not just the BRD summary row): the specific trigger is "run a cycle with the mainframe reference corpus staged, re-run it, and diff for byte-identical output plus one comparison HTML per artifact" - the missing external corpus AND the already-confirmed-unreliable comparator are BOTH still required. Initially considered "confirmed by extension" via the other ADSIMSTR-reading TCs this session added, but on closer reading those don't satisfy this TC's specific two-run-diff-plus-comparator-HTML requirement - correctly reverted to blocked rather than over-claim a pass.</t>
  </si>
  <si>
    <t>Agree - needs the mainframe reference corpus and a two-run diff. Partial evidence: ActivityLogRepositoryIT#findByProcessingDateOrdersByContractThenSubjectThenTimestamp (stable order). Keep blocked for a one-off parallel-run check.</t>
  </si>
  <si>
    <t>Yes (with mainframe corpus)</t>
  </si>
  <si>
    <t>Needs the mainframe reference files and two identical runs to compare (parallel-run check).</t>
  </si>
  <si>
    <t>Re-checked 2026-09-29 against the BRD's full rule text: documents four deliberately-deferred safeguards (cross-trigger idempotency guard, file disposal after processing, direct-run-request authentication, file-still-arriving detection) that are recorded as NOT YET implemented. There is nothing built yet for this framework to exercise.</t>
  </si>
  <si>
    <t>Agree - deliberately deferred safeguards; they are listed in ingestion/package-info.java and the known-gaps specs. Nothing is built yet to test.</t>
  </si>
  <si>
    <t>Lists deliberately deferred safeguards; nothing built yet.</t>
  </si>
  <si>
    <t>Not a real blocker. B0700 is correct: a B (contra header) record for a BD already in ADB is always rejected, as in legacy. Updates are not sent that way. In the LNA feed an update arrives as STANDALONE records outside any bundle: C (firm), D01+D02 (producer), placed before the first B or after a Z. Java handles these through the 8000/8015/8020 standalone paths (AllstateFeedIngestionServiceImpl.runStandalone). This is the normal shape of an update file: the Day 2 mainframe corpus opens with ~60 standalone Cs followed by D01/D02 pairs, and CNTLRPT reports 44 IP contracts updated. The updates write MI00MI / RA00RA / TE00TE activity rows, and HR2 then does the old-vs-new comparison these rules describe. See docs/specs/hr1-br047-new-bd-bundle-dispatch-qa-guidance.md section 4 ('Shape A').</t>
  </si>
  <si>
    <t>Day 1: create the BD/producer with a normal bundle. Day 2 (a later feed date): send ONLY standalone records with the changed field(s): a C record for a firm change, a D01+D02 pair for a producer change, or a D02 with status T + end date (or back to A) for a relationship change. Assert on HR1 (LOADFILE/CNTLRPT 'updated' counters, activity_log_entry transaction code) and HR2 (contract_record / organization_record in SQLDUMP, ADSIMSTR). Use docs/Pru-ADB-HR-JAVA-DESIGN/ALLSTATE_LNA_TEST_INPUT_DAY2.txt as the reference layout.</t>
  </si>
  <si>
    <t>[Updated 2026-09-29] Re-investigated across 4 distinct constructions (blank WS-SOC-SEC-NUM, blank WS-ALLSTATE-ID, a blank activity-log code, and deleting the underlying contract outright) - none reached the actual rule condition. The 4th attempt did surface a real, separate finding: deleting the source record causes a "UTT_ALL_CNTR lookup failed ... reporting D001" rejection in the ERRFILE artifact - useful context, but a different mechanism/file than this rule describes. A BRD source-code excerpt confirms "current key"/"prior key" are fields on an internally-built activity structure (ALL-ADSI-ACT-CNTR-RECORD, UTP28001 3000-DET-ADSI-PROCESS-PARA), computed fresh each cycle - but not precisely what makes it compute blank. Needs dev source access or a direct conversation, not further guessing.</t>
  </si>
  <si>
    <t>Dev answer to QA's question: NOTHING in the daily flow produces a blank current key - in legacy or in Java. Legacy: UTP28001 3000-DET-ADSI-PROCESS-PARA does delete by prior key when ALL-CNTR-PRIMARY-KEY = SPACES and stops the run (RC 12) if the read or delete fails. But UTP27901 fills that key from UTP27801's freshly built record (MOVE LK-CNTR-PRIMARY-KEY TO ALL-CNTR-PRIMARY-KEY, :1917/:2041), and a failed build is written as D003 instead (:2616-2619). Java: AdsiChangeDetectionService only emits an HrActivityRecord with a non-null built current record, and an unbuildable node is a D003 skip. So QA's 4 constructions could never reach it. The branch itself is covered by AdsiMasterUpdateServiceTest#deletesWhenCurrentRecordIsNull and #deletingAMissingContractNumberThrowsMasterRecordNotFoundException (the failure stops the run). QA's D001 finding (deleted contract -&gt; 'UTT_ALL_CNTR lookup failed ... D001') is the correct, separate behaviour and can be used as evidence for TC-BR-129.</t>
  </si>
  <si>
    <t>No blank current key is ever produced in the daily flow (legacy or Java). The delete branch is covered by AdsiMasterUpdateServiceTest#deletesWhenCurrentRecordIsNull / #deletingAMissingContractNumberThrows...</t>
  </si>
  <si>
    <t>Status (2026-10-02)</t>
  </si>
  <si>
    <t>QA Manual?</t>
  </si>
  <si>
    <t>QA Automation?</t>
  </si>
  <si>
    <t>Why QA cannot test it manually</t>
  </si>
  <si>
    <t>Why it cannot be automated</t>
  </si>
  <si>
    <t>What would unblock / close it</t>
  </si>
  <si>
    <t>Blocked - pending dev decision</t>
  </si>
  <si>
    <t>No (yet)</t>
  </si>
  <si>
    <t>Dev - or QA after dev adds log line</t>
  </si>
  <si>
    <t>The 25-code cap only trims the in-memory extract entry (HrActivityExtractService:147). The trimmed result is written to no artifact, no INFO log line and not to processed_ts (stamped on every row in the HR2 window), so even a manual DB seed + HR2 run gives QA nothing to look at.</t>
  </si>
  <si>
    <t>Same reason - no observable output to assert on. The seed itself (30 activity rows, processed_ts NULL, trigger HR2) is already automatable with the existing insertActivity technique.</t>
  </si>
  <si>
    <t>Dev adds one INFO log line when the cap trims (proposed 2026-10-02), then QA automates it with the existing log capture. Otherwise close as dev-verified (proven by dev on PostgreSQL: 30 rows -&gt; 25 codes).</t>
  </si>
  <si>
    <t>Pending dev decision</t>
  </si>
  <si>
    <t>Partly testable by QA</t>
  </si>
  <si>
    <t>Partial</t>
  </si>
  <si>
    <t>QA (HTTP route) + Dev (folder watch / rescan)</t>
  </si>
  <si>
    <t>QA can trigger the HTTP route from the UI and see the run complete. The folder-watch and periodic re-scan routes need a file placed directly in the server landing folder - QA has no server filesystem access.</t>
  </si>
  <si>
    <t>HTTP route: already exercised by every automated run (could be a dedicated check). Folder-watch / re-scan: the browser framework cannot write to the server filesystem.</t>
  </si>
  <si>
    <t>Folder-watch and re-scan are covered by FolderWatchTriggerIT / LandingDirectoryScannerTest.</t>
  </si>
  <si>
    <t>Verified by dev test (QA can test the HTTP route)</t>
  </si>
  <si>
    <t>Blocked - dev test; optional ops drill</t>
  </si>
  <si>
    <t>Only with ops</t>
  </si>
  <si>
    <t>Dev - unit/integration test; ops drill optional</t>
  </si>
  <si>
    <t>Requires killing a run mid-file and restarting it - needs server process control. QA could verify the resumed position in the DB only if ops stops/restarts the run for them.</t>
  </si>
  <si>
    <t>The framework cannot kill or restart the server process, so the mid-file interruption cannot be produced.</t>
  </si>
  <si>
    <t>Covered by AllstateFeedIngestionServiceTest restart tests + BundleProcessorTransactionIT checkpoint tests. Optional live evidence: ops stops a run mid-file and restarts it.</t>
  </si>
  <si>
    <t>Stays blocked - one-off manual check</t>
  </si>
  <si>
    <t>Needs the mainframe reference corpus (not available to QA) staged for two identical runs, plus a comparator that is documented as unreliable.</t>
  </si>
  <si>
    <t>External corpus not available to the framework, and the comparator cannot be trusted for an automated PASS/FAIL.</t>
  </si>
  <si>
    <t>Ops/business supplies the mainframe reference files; run the parallel-run check once and record the evidence.</t>
  </si>
  <si>
    <t>Blocked - owner confirmation</t>
  </si>
  <si>
    <t>Ops / licensing-system owner</t>
  </si>
  <si>
    <t>The claim is about a downstream consumer's interface agreement (the licensing system). It is a business confirmation, not app behaviour QA can observe; the activity extract itself is also not in the download-all ZIP.</t>
  </si>
  <si>
    <t>Nothing in the app's outputs proves another system's consumption contract.</t>
  </si>
  <si>
    <t>Licensing-system owner confirms they consume the extract. File side covered by ErrorArtifactExportServiceTest / HrActivityExtractServiceIT.</t>
  </si>
  <si>
    <t>Blocked - ops confirmation</t>
  </si>
  <si>
    <t>File transport (FTP/SFTP) is infrastructure outside the application; not visible from the UI or the database.</t>
  </si>
  <si>
    <t>Transport layer is not reachable from the browser/DB framework.</t>
  </si>
  <si>
    <t>Ops confirms the transport stays FTP/SFTP. Layouts covered by HrPipelineEndToEndIT and the copybook writer tests.</t>
  </si>
  <si>
    <t>Dev only</t>
  </si>
  <si>
    <t>Unreachable live: the contract.entity_type CHECK constraint and HR1 validation (C0716) both reject a fifth entity type, and the Java enum cannot represent one.</t>
  </si>
  <si>
    <t>The condition cannot be produced by any feed upload or DB seed, so there is nothing for the Playwright/DB framework to drive or observe.</t>
  </si>
  <si>
    <t>Covered by BundleProcessorImplTest (C0716 tests).</t>
  </si>
  <si>
    <t>The prior key/subject/RMO/region/org values exist only in memory (HrActivityRecord) and are discarded after the run - there is no prior_* column anywhere to inspect.</t>
  </si>
  <si>
    <t>Covered by AdsiMasterUpdateServiceTest prior-key tests.</t>
  </si>
  <si>
    <t>PROCESS-ID is an internal parameter (NodeType enum in Java) - no feed field or UI input selects it, so an unrecognised marker cannot be sent.</t>
  </si>
  <si>
    <t>Covered by AdsiChangeDetectionServiceTest#writesD002ForAnInvalidNodeType.</t>
  </si>
  <si>
    <t>Unobservable by design - the rule itself says no output reveals the omitted trailer comparison.</t>
  </si>
  <si>
    <t>No output changes, so there is nothing to assert on.</t>
  </si>
  <si>
    <t>Code evidence: compareContract has no BASIC2 comparison. Dev can add a pinning unit test if the BA wants one.</t>
  </si>
  <si>
    <t>Requires breaking the Java source on purpose and confirming the unit tests catch it - needs source/build access.</t>
  </si>
  <si>
    <t>Framework has no source/build access.</t>
  </si>
  <si>
    <t>Pinned by AdsiMasterUpdateServiceTest and FeedIngestionLauncherTest.</t>
  </si>
  <si>
    <t>A blank "current key" is never produced in the daily flow (legacy or Java) - a failed build becomes D003 instead. QA tried 4 constructions; none can reach it.</t>
  </si>
  <si>
    <t>Covered by AdsiMasterUpdateServiceTest#deletesWhenCurrentRecordIsNull / #deletingAMissingContractNumberThrows...</t>
  </si>
  <si>
    <t>Not applicable</t>
  </si>
  <si>
    <t>Nothing to test - the rule describes no observable application behaviour. Architecture statement (handoff between comparison and master update).</t>
  </si>
  <si>
    <t>Nothing to automate - no input produces an observable outcome.</t>
  </si>
  <si>
    <t>Close.</t>
  </si>
  <si>
    <t>Nothing to test - the rule describes no observable application behaviour. Impossible with this schema: the address primary key allows one row per kind.</t>
  </si>
  <si>
    <t>Nothing to test - the rule describes no observable application behaviour. COBOL cursor handling with no Java counterpart.</t>
  </si>
  <si>
    <t>Nothing to test - the rule describes no observable application behaviour. Inbound file transfer is outside the app (ops/FTP).</t>
  </si>
  <si>
    <t>Nothing to test - the rule describes no observable application behaviour. Point-in-time recovery is owned by the DBA.</t>
  </si>
  <si>
    <t>Nothing to test - the rule describes no observable application behaviour. Documentation/philosophy statement about configuration.</t>
  </si>
  <si>
    <t>Nothing to test - the rule describes no observable application behaviour. Proving the absence of other writers is not testable.</t>
  </si>
  <si>
    <t>Nothing to test - the rule describes no observable application behaviour. Meta rule satisfied by the verdict report itself.</t>
  </si>
  <si>
    <t>Nothing to test - the rule describes no observable application behaviour. Deliberately deferred safeguards - nothing built yet.</t>
  </si>
  <si>
    <t>Latest verdicts (2026-10-02)</t>
  </si>
  <si>
    <t>Notes</t>
  </si>
  <si>
    <t>Includes the 13 TCs that failed in the earlier report and pass on retest, plus TC-BR-117 (unblocked).</t>
  </si>
  <si>
    <t>TC-BR-436 only - DEF-RDMS-BRV4-017 (Needs investigation, open - awaiting dev triage).</t>
  </si>
  <si>
    <t>See the QA Testability 2026-10-02 sheet for why each cannot be tested by QA.</t>
  </si>
  <si>
    <t>Who can test (2026-10-02)</t>
  </si>
  <si>
    <t>119</t>
  </si>
  <si>
    <t>006</t>
  </si>
  <si>
    <t>159, 156</t>
  </si>
  <si>
    <t>155</t>
  </si>
  <si>
    <t>451, 030, 076, 132, 158, 480</t>
  </si>
  <si>
    <t>QA testability</t>
  </si>
  <si>
    <t>QA Manual = Partial (HTTP route only)</t>
  </si>
  <si>
    <t>QA Manual = Only with ops (ops performs the action)</t>
  </si>
  <si>
    <t>006, 159</t>
  </si>
  <si>
    <t>QA Manual = No</t>
  </si>
  <si>
    <t>150, 155, 156, dev-only (6), not applicable (9)</t>
  </si>
  <si>
    <t>Changes on 2026-10-02</t>
  </si>
  <si>
    <t/>
  </si>
  <si>
    <t>Detail</t>
  </si>
  <si>
    <t>Report aligned to latest verdicts + bug log v10</t>
  </si>
  <si>
    <t>Summary / PASS / FAIL / BLOCKED rebuilt from artifacts/e2e-brv4/verdicts (167 PASS / 1 FAIL / 21 BLOCKED). New "Related Bug(s)" column cross-references bug-reports-brv4-code-triage-v10.xlsx.</t>
  </si>
  <si>
    <t>All 13 former FAILs now PASS</t>
  </si>
  <si>
    <t>TC-BR-016, 051, 088, 134, 140, 321, 322, 377, 429, 459, 464, 465, 478 - fixes for DEF-004/006/009/011/012 merged via PR #86 / #88; the rest closed as not-a-defect / corrected TCs. TC-BR-134 passes but DEF-002 still awaits the BA decision.</t>
  </si>
  <si>
    <t>TC-BR-436 FAIL -&gt; DEF-RDMS-BRV4-017</t>
  </si>
  <si>
    <t>Standalone BD update that blanks the whole mailing address is counted as a BD update but leaves the MAILING row, updt_ts and activity untouched; master keeps ALT_ADDRESS. HR1 fault; awaiting dev triage against UTP27201.</t>
  </si>
  <si>
    <t>TC-BR-117 unblocked -&gt; PASS (removed from BLOCKED)</t>
  </si>
  <si>
    <t>Dev commit 080c502 added Export/errfile-detectchanges-&lt;date&gt;.csv to the download-all ZIP. Automated: orphan-contract seed -&gt; D003 row with blank sqlCode, node absent from adsi_master. 5/5 checks PASS.</t>
  </si>
  <si>
    <t>TC-BR-129 extended (still PASS)</t>
  </si>
  <si>
    <t>Added the D001 outcome per dev: activity code with no UTT_ALL_CNTR row -&gt; WARN "UTT_ALL_CNTR lookup failed ..." + D001 row in Export/errfile-&lt;date&gt;.csv, absent from errfile-detectchanges. 7/7 checks PASS.</t>
  </si>
  <si>
    <t>TC-BR-150 still blocked</t>
  </si>
  <si>
    <t>Dev confirmed the 25-code result is visible in neither a log line nor processed_ts. Waiting on dev: add an INFO log when the cap trims, or close as dev-verified.</t>
  </si>
  <si>
    <t>Remaining blocked</t>
  </si>
  <si>
    <t>21 TCs. Only TC-BR-119 (HTTP route) is QA-testable today; TC-BR-006 and TC-BR-159 need ops to act; the rest are dev-verified, owner/ops confirmations, or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</si>
</sst>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theme="1"/>
      <sz val="12"/>
      <name val="Calibri"/>
    </font>
    <font>
      <b/>
      <color theme="1"/>
      <sz val="11"/>
      <name val="Calibri"/>
    </font>
    <font>
      <color theme="1"/>
      <sz val="11"/>
      <name val="Calibri"/>
    </font>
    <font>
      <b/>
      <sz val="12"/>
      <name val="Calibri"/>
    </font>
    <font>
      <sz val="12"/>
      <name val="Calibri"/>
    </font>
  </fonts>
  <fills count="6">
    <fill>
      <patternFill patternType="none"/>
    </fill>
    <fill>
      <patternFill patternType="gray125"/>
    </fill>
    <fill>
      <patternFill patternType="solid">
        <fgColor rgb="FFC6EFCE"/>
        <bgColor rgb="FFC6EFCE"/>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bottom" wrapText="1"/>
    </xf>
    <xf numFmtId="0" fontId="1" fillId="0" borderId="0" xfId="0" applyFont="1" applyAlignment="1">
      <alignment vertical="bottom"/>
    </xf>
    <xf numFmtId="0" fontId="2" fillId="0" borderId="0" xfId="0" applyFont="1" applyAlignment="1">
      <alignment vertical="top" wrapText="1"/>
    </xf>
    <xf numFmtId="0" fontId="3" fillId="2" borderId="0" xfId="0" applyFont="1" applyFill="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4" fillId="0" borderId="0" xfId="0" applyFont="1" applyAlignment="1">
      <alignment horizontal="center" vertical="center" wrapText="1"/>
    </xf>
    <xf numFmtId="0" fontId="5"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zoomScale="100" zoomScaleNormal="100"/>
  </sheetViews>
  <sheetFormatPr defaultRowHeight="15" outlineLevelRow="0" outlineLevelCol="0" x14ac:dyDescent="0" defaultColWidth="11.22"/>
  <cols>
    <col min="1" max="6" width="11.22" customWidth="1"/>
    <col min="8" max="8" width="60" customWidth="1"/>
  </cols>
  <sheetData>
    <row r="1" ht="15" customHeight="1" spans="1:8" x14ac:dyDescent="0.25">
      <c r="A1" s="1" t="s">
        <v>0</v>
      </c>
      <c r="B1" s="1" t="s">
        <v>1</v>
      </c>
      <c r="C1" s="1" t="s">
        <v>2</v>
      </c>
      <c r="D1" s="1" t="s">
        <v>3</v>
      </c>
      <c r="E1" s="1" t="s">
        <v>4</v>
      </c>
      <c r="F1" s="1" t="s">
        <v>5</v>
      </c>
      <c r="G1" s="1" t="s">
        <v>6</v>
      </c>
      <c r="H1" s="2" t="s">
        <v>7</v>
      </c>
    </row>
    <row r="2" ht="15" customHeight="1" spans="1:8" x14ac:dyDescent="0.25">
      <c r="A2" s="1" t="s">
        <v>8</v>
      </c>
      <c r="B2" s="1" t="s">
        <v>9</v>
      </c>
      <c r="C2" s="1" t="s">
        <v>10</v>
      </c>
      <c r="D2" s="1" t="s">
        <v>11</v>
      </c>
      <c r="E2" s="1" t="s">
        <v>12</v>
      </c>
      <c r="F2" s="1" t="s">
        <v>13</v>
      </c>
      <c r="G2" s="1" t="s">
        <v>14</v>
      </c>
      <c r="H2" s="1"/>
    </row>
    <row r="3" ht="15" customHeight="1" spans="1:8" x14ac:dyDescent="0.25">
      <c r="A3" s="1" t="s">
        <v>15</v>
      </c>
      <c r="B3" s="1" t="s">
        <v>16</v>
      </c>
      <c r="C3" s="1" t="s">
        <v>17</v>
      </c>
      <c r="D3" s="1" t="s">
        <v>11</v>
      </c>
      <c r="E3" s="1" t="s">
        <v>12</v>
      </c>
      <c r="F3" s="1" t="s">
        <v>13</v>
      </c>
      <c r="G3" s="1" t="s">
        <v>18</v>
      </c>
      <c r="H3" s="1"/>
    </row>
    <row r="4" ht="15" customHeight="1" spans="1:8" x14ac:dyDescent="0.25">
      <c r="A4" s="1" t="s">
        <v>19</v>
      </c>
      <c r="B4" s="1" t="s">
        <v>20</v>
      </c>
      <c r="C4" s="1" t="s">
        <v>21</v>
      </c>
      <c r="D4" s="1" t="s">
        <v>11</v>
      </c>
      <c r="E4" s="1" t="s">
        <v>12</v>
      </c>
      <c r="F4" s="1" t="s">
        <v>13</v>
      </c>
      <c r="G4" s="1" t="s">
        <v>22</v>
      </c>
      <c r="H4" s="1"/>
    </row>
    <row r="5" ht="15" customHeight="1" spans="1:8" x14ac:dyDescent="0.25">
      <c r="A5" s="1" t="s">
        <v>23</v>
      </c>
      <c r="B5" s="1" t="s">
        <v>24</v>
      </c>
      <c r="C5" s="1" t="s">
        <v>21</v>
      </c>
      <c r="D5" s="1" t="s">
        <v>11</v>
      </c>
      <c r="E5" s="1" t="s">
        <v>12</v>
      </c>
      <c r="F5" s="1" t="s">
        <v>13</v>
      </c>
      <c r="G5" s="1" t="s">
        <v>25</v>
      </c>
      <c r="H5" s="1"/>
    </row>
    <row r="6" ht="15" customHeight="1" spans="1:8" x14ac:dyDescent="0.25">
      <c r="A6" s="1" t="s">
        <v>26</v>
      </c>
      <c r="B6" s="1" t="s">
        <v>27</v>
      </c>
      <c r="C6" s="1" t="s">
        <v>28</v>
      </c>
      <c r="D6" s="1" t="s">
        <v>11</v>
      </c>
      <c r="E6" s="1" t="s">
        <v>12</v>
      </c>
      <c r="F6" s="1" t="s">
        <v>13</v>
      </c>
      <c r="G6" s="1" t="s">
        <v>29</v>
      </c>
      <c r="H6" s="1"/>
    </row>
    <row r="7" ht="15" customHeight="1" spans="1:8" x14ac:dyDescent="0.25">
      <c r="A7" s="1" t="s">
        <v>30</v>
      </c>
      <c r="B7" s="1" t="s">
        <v>31</v>
      </c>
      <c r="C7" s="1" t="s">
        <v>32</v>
      </c>
      <c r="D7" s="1" t="s">
        <v>11</v>
      </c>
      <c r="E7" s="1" t="s">
        <v>12</v>
      </c>
      <c r="F7" s="1" t="s">
        <v>13</v>
      </c>
      <c r="G7" s="1" t="s">
        <v>33</v>
      </c>
      <c r="H7" s="1" t="s">
        <v>34</v>
      </c>
    </row>
    <row r="8" ht="15" customHeight="1" spans="1:8" x14ac:dyDescent="0.25">
      <c r="A8" s="1" t="s">
        <v>35</v>
      </c>
      <c r="B8" s="1" t="s">
        <v>36</v>
      </c>
      <c r="C8" s="1" t="s">
        <v>37</v>
      </c>
      <c r="D8" s="1" t="s">
        <v>11</v>
      </c>
      <c r="E8" s="1" t="s">
        <v>12</v>
      </c>
      <c r="F8" s="1" t="s">
        <v>13</v>
      </c>
      <c r="G8" s="1" t="s">
        <v>38</v>
      </c>
      <c r="H8" s="1"/>
    </row>
    <row r="9" ht="15" customHeight="1" spans="1:8" x14ac:dyDescent="0.25">
      <c r="A9" s="1" t="s">
        <v>39</v>
      </c>
      <c r="B9" s="1" t="s">
        <v>40</v>
      </c>
      <c r="C9" s="1" t="s">
        <v>37</v>
      </c>
      <c r="D9" s="1" t="s">
        <v>11</v>
      </c>
      <c r="E9" s="1" t="s">
        <v>12</v>
      </c>
      <c r="F9" s="1" t="s">
        <v>13</v>
      </c>
      <c r="G9" s="1" t="s">
        <v>41</v>
      </c>
      <c r="H9" s="1" t="s">
        <v>42</v>
      </c>
    </row>
    <row r="10" ht="15" customHeight="1" spans="1:8" x14ac:dyDescent="0.25">
      <c r="A10" s="1" t="s">
        <v>43</v>
      </c>
      <c r="B10" s="1" t="s">
        <v>44</v>
      </c>
      <c r="C10" s="1" t="s">
        <v>45</v>
      </c>
      <c r="D10" s="1" t="s">
        <v>11</v>
      </c>
      <c r="E10" s="1" t="s">
        <v>12</v>
      </c>
      <c r="F10" s="1" t="s">
        <v>13</v>
      </c>
      <c r="G10" s="1" t="s">
        <v>46</v>
      </c>
      <c r="H10" s="1"/>
    </row>
    <row r="11" ht="15" customHeight="1" spans="1:8" x14ac:dyDescent="0.25">
      <c r="A11" s="1" t="s">
        <v>47</v>
      </c>
      <c r="B11" s="1" t="s">
        <v>48</v>
      </c>
      <c r="C11" s="1" t="s">
        <v>45</v>
      </c>
      <c r="D11" s="1" t="s">
        <v>11</v>
      </c>
      <c r="E11" s="1" t="s">
        <v>12</v>
      </c>
      <c r="F11" s="1" t="s">
        <v>13</v>
      </c>
      <c r="G11" s="1" t="s">
        <v>49</v>
      </c>
      <c r="H11" s="1"/>
    </row>
    <row r="12" ht="15" customHeight="1" spans="1:8" x14ac:dyDescent="0.25">
      <c r="A12" s="1" t="s">
        <v>50</v>
      </c>
      <c r="B12" s="1" t="s">
        <v>51</v>
      </c>
      <c r="C12" s="1" t="s">
        <v>52</v>
      </c>
      <c r="D12" s="1" t="s">
        <v>11</v>
      </c>
      <c r="E12" s="1" t="s">
        <v>12</v>
      </c>
      <c r="F12" s="1" t="s">
        <v>13</v>
      </c>
      <c r="G12" s="1" t="s">
        <v>53</v>
      </c>
      <c r="H12" s="1"/>
    </row>
    <row r="13" ht="15" customHeight="1" spans="1:8" x14ac:dyDescent="0.25">
      <c r="A13" s="1" t="s">
        <v>54</v>
      </c>
      <c r="B13" s="1" t="s">
        <v>55</v>
      </c>
      <c r="C13" s="1" t="s">
        <v>52</v>
      </c>
      <c r="D13" s="1" t="s">
        <v>11</v>
      </c>
      <c r="E13" s="1" t="s">
        <v>12</v>
      </c>
      <c r="F13" s="1" t="s">
        <v>13</v>
      </c>
      <c r="G13" s="1" t="s">
        <v>56</v>
      </c>
      <c r="H13" s="1"/>
    </row>
    <row r="14" ht="15" customHeight="1" spans="1:8" x14ac:dyDescent="0.25">
      <c r="A14" s="1" t="s">
        <v>57</v>
      </c>
      <c r="B14" s="1" t="s">
        <v>58</v>
      </c>
      <c r="C14" s="1" t="s">
        <v>59</v>
      </c>
      <c r="D14" s="1" t="s">
        <v>11</v>
      </c>
      <c r="E14" s="1" t="s">
        <v>12</v>
      </c>
      <c r="F14" s="1" t="s">
        <v>13</v>
      </c>
      <c r="G14" s="1" t="s">
        <v>60</v>
      </c>
      <c r="H14" s="1"/>
    </row>
    <row r="15" ht="15" customHeight="1" spans="1:8" x14ac:dyDescent="0.25">
      <c r="A15" s="1" t="s">
        <v>61</v>
      </c>
      <c r="B15" s="1" t="s">
        <v>62</v>
      </c>
      <c r="C15" s="1" t="s">
        <v>63</v>
      </c>
      <c r="D15" s="1" t="s">
        <v>11</v>
      </c>
      <c r="E15" s="1" t="s">
        <v>12</v>
      </c>
      <c r="F15" s="1" t="s">
        <v>13</v>
      </c>
      <c r="G15" s="1" t="s">
        <v>64</v>
      </c>
      <c r="H15" s="1" t="s">
        <v>65</v>
      </c>
    </row>
    <row r="16" ht="15" customHeight="1" spans="1:8" x14ac:dyDescent="0.25">
      <c r="A16" s="1" t="s">
        <v>66</v>
      </c>
      <c r="B16" s="1" t="s">
        <v>67</v>
      </c>
      <c r="C16" s="1" t="s">
        <v>68</v>
      </c>
      <c r="D16" s="1" t="s">
        <v>11</v>
      </c>
      <c r="E16" s="1" t="s">
        <v>12</v>
      </c>
      <c r="F16" s="1" t="s">
        <v>13</v>
      </c>
      <c r="G16" s="1" t="s">
        <v>69</v>
      </c>
      <c r="H16" s="1"/>
    </row>
    <row r="17" ht="15" customHeight="1" spans="1:8" x14ac:dyDescent="0.25">
      <c r="A17" s="1" t="s">
        <v>70</v>
      </c>
      <c r="B17" s="1" t="s">
        <v>71</v>
      </c>
      <c r="C17" s="1" t="s">
        <v>68</v>
      </c>
      <c r="D17" s="1" t="s">
        <v>11</v>
      </c>
      <c r="E17" s="1" t="s">
        <v>12</v>
      </c>
      <c r="F17" s="1" t="s">
        <v>13</v>
      </c>
      <c r="G17" s="1" t="s">
        <v>72</v>
      </c>
      <c r="H17" s="1"/>
    </row>
    <row r="18" ht="15" customHeight="1" spans="1:8" x14ac:dyDescent="0.25">
      <c r="A18" s="1" t="s">
        <v>73</v>
      </c>
      <c r="B18" s="1" t="s">
        <v>74</v>
      </c>
      <c r="C18" s="1" t="s">
        <v>75</v>
      </c>
      <c r="D18" s="1" t="s">
        <v>11</v>
      </c>
      <c r="E18" s="1" t="s">
        <v>12</v>
      </c>
      <c r="F18" s="1" t="s">
        <v>13</v>
      </c>
      <c r="G18" s="1" t="s">
        <v>76</v>
      </c>
      <c r="H18" s="1"/>
    </row>
    <row r="19" ht="15" customHeight="1" spans="1:8" x14ac:dyDescent="0.25">
      <c r="A19" s="1" t="s">
        <v>77</v>
      </c>
      <c r="B19" s="1" t="s">
        <v>78</v>
      </c>
      <c r="C19" s="1" t="s">
        <v>75</v>
      </c>
      <c r="D19" s="1" t="s">
        <v>11</v>
      </c>
      <c r="E19" s="1" t="s">
        <v>12</v>
      </c>
      <c r="F19" s="1" t="s">
        <v>13</v>
      </c>
      <c r="G19" s="1" t="s">
        <v>79</v>
      </c>
      <c r="H19" s="1"/>
    </row>
    <row r="20" ht="15" customHeight="1" spans="1:8" x14ac:dyDescent="0.25">
      <c r="A20" s="1" t="s">
        <v>80</v>
      </c>
      <c r="B20" s="1" t="s">
        <v>81</v>
      </c>
      <c r="C20" s="1" t="s">
        <v>82</v>
      </c>
      <c r="D20" s="1" t="s">
        <v>11</v>
      </c>
      <c r="E20" s="1" t="s">
        <v>12</v>
      </c>
      <c r="F20" s="1" t="s">
        <v>13</v>
      </c>
      <c r="G20" s="1" t="s">
        <v>83</v>
      </c>
      <c r="H20" s="1"/>
    </row>
    <row r="21" ht="15.75" customHeight="1" spans="1:8" x14ac:dyDescent="0.25">
      <c r="A21" s="1" t="s">
        <v>84</v>
      </c>
      <c r="B21" s="1" t="s">
        <v>85</v>
      </c>
      <c r="C21" s="1" t="s">
        <v>21</v>
      </c>
      <c r="D21" s="1" t="s">
        <v>11</v>
      </c>
      <c r="E21" s="1" t="s">
        <v>12</v>
      </c>
      <c r="F21" s="1" t="s">
        <v>13</v>
      </c>
      <c r="G21" s="1" t="s">
        <v>86</v>
      </c>
      <c r="H21" s="1"/>
    </row>
    <row r="22" ht="15.75" customHeight="1" spans="1:8" x14ac:dyDescent="0.25">
      <c r="A22" s="1" t="s">
        <v>87</v>
      </c>
      <c r="B22" s="1" t="s">
        <v>88</v>
      </c>
      <c r="C22" s="1" t="s">
        <v>28</v>
      </c>
      <c r="D22" s="1" t="s">
        <v>11</v>
      </c>
      <c r="E22" s="1" t="s">
        <v>12</v>
      </c>
      <c r="F22" s="1" t="s">
        <v>13</v>
      </c>
      <c r="G22" s="1" t="s">
        <v>89</v>
      </c>
      <c r="H22" s="1"/>
    </row>
    <row r="23" ht="15.75" customHeight="1" spans="1:8" x14ac:dyDescent="0.25">
      <c r="A23" s="1" t="s">
        <v>90</v>
      </c>
      <c r="B23" s="1" t="s">
        <v>91</v>
      </c>
      <c r="C23" s="1" t="s">
        <v>28</v>
      </c>
      <c r="D23" s="1" t="s">
        <v>11</v>
      </c>
      <c r="E23" s="1" t="s">
        <v>92</v>
      </c>
      <c r="F23" s="1" t="s">
        <v>93</v>
      </c>
      <c r="G23" s="1" t="s">
        <v>94</v>
      </c>
      <c r="H23" s="1"/>
    </row>
    <row r="24" ht="15.75" customHeight="1" spans="1:8" x14ac:dyDescent="0.25">
      <c r="A24" s="1" t="s">
        <v>95</v>
      </c>
      <c r="B24" s="1" t="s">
        <v>96</v>
      </c>
      <c r="C24" s="1" t="s">
        <v>97</v>
      </c>
      <c r="D24" s="1" t="s">
        <v>98</v>
      </c>
      <c r="E24" s="1" t="s">
        <v>92</v>
      </c>
      <c r="F24" s="1" t="s">
        <v>93</v>
      </c>
      <c r="G24" s="1" t="s">
        <v>99</v>
      </c>
      <c r="H24" s="1"/>
    </row>
    <row r="25" ht="15.75" customHeight="1" spans="1:8" x14ac:dyDescent="0.25">
      <c r="A25" s="1" t="s">
        <v>100</v>
      </c>
      <c r="B25" s="1" t="s">
        <v>101</v>
      </c>
      <c r="C25" s="1" t="s">
        <v>97</v>
      </c>
      <c r="D25" s="1" t="s">
        <v>98</v>
      </c>
      <c r="E25" s="1" t="s">
        <v>12</v>
      </c>
      <c r="F25" s="1" t="s">
        <v>13</v>
      </c>
      <c r="G25" s="1" t="s">
        <v>102</v>
      </c>
      <c r="H25" s="1"/>
    </row>
    <row r="26" ht="15.75" customHeight="1" spans="1:8" x14ac:dyDescent="0.25">
      <c r="A26" s="1" t="s">
        <v>103</v>
      </c>
      <c r="B26" s="1" t="s">
        <v>104</v>
      </c>
      <c r="C26" s="1" t="s">
        <v>105</v>
      </c>
      <c r="D26" s="1" t="s">
        <v>98</v>
      </c>
      <c r="E26" s="1" t="s">
        <v>12</v>
      </c>
      <c r="F26" s="1" t="s">
        <v>13</v>
      </c>
      <c r="G26" s="1" t="s">
        <v>106</v>
      </c>
      <c r="H26" s="1" t="s">
        <v>107</v>
      </c>
    </row>
    <row r="27" ht="15.75" customHeight="1" spans="1:8" x14ac:dyDescent="0.25">
      <c r="A27" s="1" t="s">
        <v>108</v>
      </c>
      <c r="B27" s="1" t="s">
        <v>109</v>
      </c>
      <c r="C27" s="1" t="s">
        <v>110</v>
      </c>
      <c r="D27" s="1" t="s">
        <v>98</v>
      </c>
      <c r="E27" s="1" t="s">
        <v>12</v>
      </c>
      <c r="F27" s="1" t="s">
        <v>13</v>
      </c>
      <c r="G27" s="1" t="s">
        <v>111</v>
      </c>
      <c r="H27" s="1"/>
    </row>
    <row r="28" ht="15.75" customHeight="1" spans="1:8" x14ac:dyDescent="0.25">
      <c r="A28" s="1" t="s">
        <v>112</v>
      </c>
      <c r="B28" s="1" t="s">
        <v>113</v>
      </c>
      <c r="C28" s="1" t="s">
        <v>110</v>
      </c>
      <c r="D28" s="1" t="s">
        <v>98</v>
      </c>
      <c r="E28" s="1" t="s">
        <v>12</v>
      </c>
      <c r="F28" s="1" t="s">
        <v>13</v>
      </c>
      <c r="G28" s="1" t="s">
        <v>114</v>
      </c>
      <c r="H28" s="1"/>
    </row>
    <row r="29" ht="15.75" customHeight="1" spans="1:8" x14ac:dyDescent="0.25">
      <c r="A29" s="1" t="s">
        <v>115</v>
      </c>
      <c r="B29" s="1" t="s">
        <v>116</v>
      </c>
      <c r="C29" s="1" t="s">
        <v>117</v>
      </c>
      <c r="D29" s="1" t="s">
        <v>98</v>
      </c>
      <c r="E29" s="1" t="s">
        <v>12</v>
      </c>
      <c r="F29" s="1" t="s">
        <v>13</v>
      </c>
      <c r="G29" s="1" t="s">
        <v>118</v>
      </c>
      <c r="H29" s="1"/>
    </row>
    <row r="30" ht="15.75" customHeight="1" spans="1:8" x14ac:dyDescent="0.25">
      <c r="A30" s="1" t="s">
        <v>119</v>
      </c>
      <c r="B30" s="1" t="s">
        <v>120</v>
      </c>
      <c r="C30" s="1" t="s">
        <v>117</v>
      </c>
      <c r="D30" s="1" t="s">
        <v>98</v>
      </c>
      <c r="E30" s="1" t="s">
        <v>12</v>
      </c>
      <c r="F30" s="1" t="s">
        <v>13</v>
      </c>
      <c r="G30" s="1" t="s">
        <v>121</v>
      </c>
      <c r="H30" s="1"/>
    </row>
    <row r="31" ht="15.75" customHeight="1" spans="1:8" x14ac:dyDescent="0.25">
      <c r="A31" s="1" t="s">
        <v>122</v>
      </c>
      <c r="B31" s="1" t="s">
        <v>123</v>
      </c>
      <c r="C31" s="1" t="s">
        <v>117</v>
      </c>
      <c r="D31" s="1" t="s">
        <v>98</v>
      </c>
      <c r="E31" s="1" t="s">
        <v>12</v>
      </c>
      <c r="F31" s="1" t="s">
        <v>13</v>
      </c>
      <c r="G31" s="1" t="s">
        <v>124</v>
      </c>
      <c r="H31" s="1"/>
    </row>
    <row r="32" ht="15.75" customHeight="1" spans="1:8" x14ac:dyDescent="0.25">
      <c r="A32" s="1" t="s">
        <v>125</v>
      </c>
      <c r="B32" s="1" t="s">
        <v>126</v>
      </c>
      <c r="C32" s="1" t="s">
        <v>127</v>
      </c>
      <c r="D32" s="1" t="s">
        <v>98</v>
      </c>
      <c r="E32" s="1" t="s">
        <v>12</v>
      </c>
      <c r="F32" s="1" t="s">
        <v>13</v>
      </c>
      <c r="G32" s="1" t="s">
        <v>128</v>
      </c>
      <c r="H32" s="1"/>
    </row>
    <row r="33" ht="15.75" customHeight="1" spans="1:8" x14ac:dyDescent="0.25">
      <c r="A33" s="1" t="s">
        <v>129</v>
      </c>
      <c r="B33" s="1" t="s">
        <v>130</v>
      </c>
      <c r="C33" s="1" t="s">
        <v>127</v>
      </c>
      <c r="D33" s="1" t="s">
        <v>98</v>
      </c>
      <c r="E33" s="1" t="s">
        <v>12</v>
      </c>
      <c r="F33" s="1" t="s">
        <v>13</v>
      </c>
      <c r="G33" s="1" t="s">
        <v>131</v>
      </c>
      <c r="H33" s="1"/>
    </row>
    <row r="34" ht="15.75" customHeight="1" spans="1:8" x14ac:dyDescent="0.25">
      <c r="A34" s="1" t="s">
        <v>132</v>
      </c>
      <c r="B34" s="1" t="s">
        <v>133</v>
      </c>
      <c r="C34" s="1" t="s">
        <v>127</v>
      </c>
      <c r="D34" s="1" t="s">
        <v>98</v>
      </c>
      <c r="E34" s="1" t="s">
        <v>12</v>
      </c>
      <c r="F34" s="1" t="s">
        <v>13</v>
      </c>
      <c r="G34" s="1" t="s">
        <v>128</v>
      </c>
      <c r="H34" s="1"/>
    </row>
    <row r="35" ht="15.75" customHeight="1" spans="1:8" x14ac:dyDescent="0.25">
      <c r="A35" s="1" t="s">
        <v>134</v>
      </c>
      <c r="B35" s="1" t="s">
        <v>135</v>
      </c>
      <c r="C35" s="1" t="s">
        <v>127</v>
      </c>
      <c r="D35" s="1" t="s">
        <v>98</v>
      </c>
      <c r="E35" s="1" t="s">
        <v>92</v>
      </c>
      <c r="F35" s="1" t="s">
        <v>93</v>
      </c>
      <c r="G35" s="1" t="s">
        <v>136</v>
      </c>
      <c r="H35" s="1"/>
    </row>
    <row r="36" ht="15.75" customHeight="1" spans="1:8" x14ac:dyDescent="0.25">
      <c r="A36" s="1" t="s">
        <v>137</v>
      </c>
      <c r="B36" s="1" t="s">
        <v>138</v>
      </c>
      <c r="C36" s="1" t="s">
        <v>127</v>
      </c>
      <c r="D36" s="1" t="s">
        <v>98</v>
      </c>
      <c r="E36" s="1" t="s">
        <v>12</v>
      </c>
      <c r="F36" s="1" t="s">
        <v>13</v>
      </c>
      <c r="G36" s="1" t="s">
        <v>139</v>
      </c>
      <c r="H36" s="1"/>
    </row>
    <row r="37" ht="15.75" customHeight="1" spans="1:8" x14ac:dyDescent="0.25">
      <c r="A37" s="1" t="s">
        <v>140</v>
      </c>
      <c r="B37" s="1" t="s">
        <v>141</v>
      </c>
      <c r="C37" s="1" t="s">
        <v>10</v>
      </c>
      <c r="D37" s="1" t="s">
        <v>142</v>
      </c>
      <c r="E37" s="1" t="s">
        <v>12</v>
      </c>
      <c r="F37" s="1" t="s">
        <v>13</v>
      </c>
      <c r="G37" s="1" t="s">
        <v>143</v>
      </c>
      <c r="H37" s="1"/>
    </row>
    <row r="38" ht="15.75" customHeight="1" spans="1:8" x14ac:dyDescent="0.25">
      <c r="A38" s="1" t="s">
        <v>144</v>
      </c>
      <c r="B38" s="1" t="s">
        <v>145</v>
      </c>
      <c r="C38" s="1" t="s">
        <v>63</v>
      </c>
      <c r="D38" s="1" t="s">
        <v>98</v>
      </c>
      <c r="E38" s="1" t="s">
        <v>12</v>
      </c>
      <c r="F38" s="1" t="s">
        <v>13</v>
      </c>
      <c r="G38" s="1" t="s">
        <v>146</v>
      </c>
      <c r="H38" s="1"/>
    </row>
    <row r="39" ht="15.75" customHeight="1" spans="1:8" x14ac:dyDescent="0.25">
      <c r="A39" s="1" t="s">
        <v>147</v>
      </c>
      <c r="B39" s="1" t="s">
        <v>148</v>
      </c>
      <c r="C39" s="1" t="s">
        <v>149</v>
      </c>
      <c r="D39" s="1" t="s">
        <v>98</v>
      </c>
      <c r="E39" s="1" t="s">
        <v>12</v>
      </c>
      <c r="F39" s="1" t="s">
        <v>13</v>
      </c>
      <c r="G39" s="1" t="s">
        <v>150</v>
      </c>
      <c r="H39" s="1"/>
    </row>
    <row r="40" ht="15.75" customHeight="1" spans="1:8" x14ac:dyDescent="0.25">
      <c r="A40" s="1" t="s">
        <v>151</v>
      </c>
      <c r="B40" s="1" t="s">
        <v>152</v>
      </c>
      <c r="C40" s="1" t="s">
        <v>153</v>
      </c>
      <c r="D40" s="1" t="s">
        <v>98</v>
      </c>
      <c r="E40" s="1" t="s">
        <v>12</v>
      </c>
      <c r="F40" s="1" t="s">
        <v>13</v>
      </c>
      <c r="G40" s="1" t="s">
        <v>154</v>
      </c>
      <c r="H40" s="1" t="s">
        <v>155</v>
      </c>
    </row>
    <row r="41" ht="15.75" customHeight="1" spans="1:8" x14ac:dyDescent="0.25">
      <c r="A41" s="1" t="s">
        <v>156</v>
      </c>
      <c r="B41" s="1" t="s">
        <v>157</v>
      </c>
      <c r="C41" s="1" t="s">
        <v>153</v>
      </c>
      <c r="D41" s="1" t="s">
        <v>98</v>
      </c>
      <c r="E41" s="1" t="s">
        <v>12</v>
      </c>
      <c r="F41" s="1" t="s">
        <v>13</v>
      </c>
      <c r="G41" s="1" t="s">
        <v>158</v>
      </c>
      <c r="H41" s="1" t="s">
        <v>159</v>
      </c>
    </row>
    <row r="42" ht="15.75" customHeight="1" spans="1:8" x14ac:dyDescent="0.25">
      <c r="A42" s="1" t="s">
        <v>160</v>
      </c>
      <c r="B42" s="1" t="s">
        <v>161</v>
      </c>
      <c r="C42" s="1" t="s">
        <v>153</v>
      </c>
      <c r="D42" s="1" t="s">
        <v>98</v>
      </c>
      <c r="E42" s="1" t="s">
        <v>12</v>
      </c>
      <c r="F42" s="1" t="s">
        <v>13</v>
      </c>
      <c r="G42" s="1" t="s">
        <v>162</v>
      </c>
      <c r="H42" s="1"/>
    </row>
    <row r="43" ht="15.75" customHeight="1" spans="1:8" x14ac:dyDescent="0.25">
      <c r="A43" s="1" t="s">
        <v>163</v>
      </c>
      <c r="B43" s="1" t="s">
        <v>164</v>
      </c>
      <c r="C43" s="1" t="s">
        <v>165</v>
      </c>
      <c r="D43" s="1" t="s">
        <v>98</v>
      </c>
      <c r="E43" s="1" t="s">
        <v>12</v>
      </c>
      <c r="F43" s="1" t="s">
        <v>13</v>
      </c>
      <c r="G43" s="1" t="s">
        <v>166</v>
      </c>
      <c r="H43" s="1"/>
    </row>
    <row r="44" ht="15.75" customHeight="1" spans="1:8" x14ac:dyDescent="0.25">
      <c r="A44" s="1" t="s">
        <v>167</v>
      </c>
      <c r="B44" s="1" t="s">
        <v>168</v>
      </c>
      <c r="C44" s="1" t="s">
        <v>165</v>
      </c>
      <c r="D44" s="1" t="s">
        <v>98</v>
      </c>
      <c r="E44" s="1" t="s">
        <v>12</v>
      </c>
      <c r="F44" s="1" t="s">
        <v>13</v>
      </c>
      <c r="G44" s="1" t="s">
        <v>169</v>
      </c>
      <c r="H44" s="1"/>
    </row>
    <row r="45" ht="15.75" customHeight="1" spans="1:8" x14ac:dyDescent="0.25">
      <c r="A45" s="1" t="s">
        <v>170</v>
      </c>
      <c r="B45" s="1" t="s">
        <v>171</v>
      </c>
      <c r="C45" s="1" t="s">
        <v>153</v>
      </c>
      <c r="D45" s="1" t="s">
        <v>98</v>
      </c>
      <c r="E45" s="1" t="s">
        <v>12</v>
      </c>
      <c r="F45" s="1" t="s">
        <v>13</v>
      </c>
      <c r="G45" s="1" t="s">
        <v>172</v>
      </c>
      <c r="H45" s="1"/>
    </row>
    <row r="46" ht="15.75" customHeight="1" spans="1:8" x14ac:dyDescent="0.25">
      <c r="A46" s="1" t="s">
        <v>173</v>
      </c>
      <c r="B46" s="1" t="s">
        <v>174</v>
      </c>
      <c r="C46" s="1" t="s">
        <v>110</v>
      </c>
      <c r="D46" s="1" t="s">
        <v>98</v>
      </c>
      <c r="E46" s="1" t="s">
        <v>12</v>
      </c>
      <c r="F46" s="1" t="s">
        <v>13</v>
      </c>
      <c r="G46" s="1" t="s">
        <v>175</v>
      </c>
      <c r="H46" s="1"/>
    </row>
    <row r="47" ht="15.75" customHeight="1" spans="1:8" x14ac:dyDescent="0.25">
      <c r="A47" s="1" t="s">
        <v>176</v>
      </c>
      <c r="B47" s="1" t="s">
        <v>177</v>
      </c>
      <c r="C47" s="1" t="s">
        <v>127</v>
      </c>
      <c r="D47" s="1" t="s">
        <v>98</v>
      </c>
      <c r="E47" s="1" t="s">
        <v>92</v>
      </c>
      <c r="F47" s="1" t="s">
        <v>93</v>
      </c>
      <c r="G47" s="1" t="s">
        <v>99</v>
      </c>
      <c r="H47" s="1"/>
    </row>
    <row r="48" ht="15.75" customHeight="1" spans="1:8" x14ac:dyDescent="0.25">
      <c r="A48" s="1" t="s">
        <v>178</v>
      </c>
      <c r="B48" s="1" t="s">
        <v>179</v>
      </c>
      <c r="C48" s="1" t="s">
        <v>63</v>
      </c>
      <c r="D48" s="1" t="s">
        <v>98</v>
      </c>
      <c r="E48" s="1" t="s">
        <v>12</v>
      </c>
      <c r="F48" s="1" t="s">
        <v>13</v>
      </c>
      <c r="G48" s="1" t="s">
        <v>180</v>
      </c>
      <c r="H48" s="1"/>
    </row>
    <row r="49" ht="15.75" customHeight="1" spans="1:8" x14ac:dyDescent="0.25">
      <c r="A49" s="1" t="s">
        <v>181</v>
      </c>
      <c r="B49" s="1" t="s">
        <v>182</v>
      </c>
      <c r="C49" s="1" t="s">
        <v>105</v>
      </c>
      <c r="D49" s="1" t="s">
        <v>98</v>
      </c>
      <c r="E49" s="1" t="s">
        <v>12</v>
      </c>
      <c r="F49" s="1" t="s">
        <v>13</v>
      </c>
      <c r="G49" s="1" t="s">
        <v>183</v>
      </c>
      <c r="H49" s="1"/>
    </row>
    <row r="50" ht="15.75" customHeight="1" spans="1:8" x14ac:dyDescent="0.25">
      <c r="A50" s="1" t="s">
        <v>184</v>
      </c>
      <c r="B50" s="1" t="s">
        <v>185</v>
      </c>
      <c r="C50" s="1" t="s">
        <v>186</v>
      </c>
      <c r="D50" s="1" t="s">
        <v>98</v>
      </c>
      <c r="E50" s="1" t="s">
        <v>12</v>
      </c>
      <c r="F50" s="1" t="s">
        <v>13</v>
      </c>
      <c r="G50" s="1" t="s">
        <v>187</v>
      </c>
      <c r="H50" s="1"/>
    </row>
    <row r="51" ht="15.75" customHeight="1" spans="1:8" x14ac:dyDescent="0.25">
      <c r="A51" s="1" t="s">
        <v>188</v>
      </c>
      <c r="B51" s="1" t="s">
        <v>189</v>
      </c>
      <c r="C51" s="1" t="s">
        <v>186</v>
      </c>
      <c r="D51" s="1" t="s">
        <v>98</v>
      </c>
      <c r="E51" s="1" t="s">
        <v>12</v>
      </c>
      <c r="F51" s="1" t="s">
        <v>13</v>
      </c>
      <c r="G51" s="1" t="s">
        <v>190</v>
      </c>
      <c r="H51" s="1"/>
    </row>
    <row r="52" ht="15.75" customHeight="1" spans="1:8" x14ac:dyDescent="0.25">
      <c r="A52" s="1" t="s">
        <v>191</v>
      </c>
      <c r="B52" s="1" t="s">
        <v>192</v>
      </c>
      <c r="C52" s="1" t="s">
        <v>10</v>
      </c>
      <c r="D52" s="1" t="s">
        <v>142</v>
      </c>
      <c r="E52" s="1" t="s">
        <v>92</v>
      </c>
      <c r="F52" s="1" t="s">
        <v>93</v>
      </c>
      <c r="G52" s="1" t="s">
        <v>193</v>
      </c>
      <c r="H52" s="1"/>
    </row>
    <row r="53" ht="15.75" customHeight="1" spans="1:8" x14ac:dyDescent="0.25">
      <c r="A53" s="1" t="s">
        <v>194</v>
      </c>
      <c r="B53" s="1" t="s">
        <v>195</v>
      </c>
      <c r="C53" s="1" t="s">
        <v>186</v>
      </c>
      <c r="D53" s="1" t="s">
        <v>98</v>
      </c>
      <c r="E53" s="1" t="s">
        <v>12</v>
      </c>
      <c r="F53" s="1" t="s">
        <v>13</v>
      </c>
      <c r="G53" s="1" t="s">
        <v>196</v>
      </c>
      <c r="H53" s="1"/>
    </row>
    <row r="54" ht="15.75" customHeight="1" spans="1:8" x14ac:dyDescent="0.25">
      <c r="A54" s="1" t="s">
        <v>197</v>
      </c>
      <c r="B54" s="1" t="s">
        <v>198</v>
      </c>
      <c r="C54" s="1" t="s">
        <v>10</v>
      </c>
      <c r="D54" s="1" t="s">
        <v>142</v>
      </c>
      <c r="E54" s="1" t="s">
        <v>12</v>
      </c>
      <c r="F54" s="1" t="s">
        <v>13</v>
      </c>
      <c r="G54" s="1" t="s">
        <v>199</v>
      </c>
      <c r="H54" s="1" t="s">
        <v>42</v>
      </c>
    </row>
    <row r="55" ht="15.75" customHeight="1" spans="1:8" x14ac:dyDescent="0.25">
      <c r="A55" s="1" t="s">
        <v>200</v>
      </c>
      <c r="B55" s="1" t="s">
        <v>201</v>
      </c>
      <c r="C55" s="1" t="s">
        <v>186</v>
      </c>
      <c r="D55" s="1" t="s">
        <v>98</v>
      </c>
      <c r="E55" s="1" t="s">
        <v>12</v>
      </c>
      <c r="F55" s="1" t="s">
        <v>13</v>
      </c>
      <c r="G55" s="1" t="s">
        <v>202</v>
      </c>
      <c r="H55" s="1"/>
    </row>
    <row r="56" ht="15.75" customHeight="1" spans="1:8" x14ac:dyDescent="0.25">
      <c r="A56" s="1" t="s">
        <v>203</v>
      </c>
      <c r="B56" s="1" t="s">
        <v>204</v>
      </c>
      <c r="C56" s="1" t="s">
        <v>186</v>
      </c>
      <c r="D56" s="1" t="s">
        <v>98</v>
      </c>
      <c r="E56" s="1" t="s">
        <v>12</v>
      </c>
      <c r="F56" s="1" t="s">
        <v>13</v>
      </c>
      <c r="G56" s="1" t="s">
        <v>205</v>
      </c>
      <c r="H56" s="1"/>
    </row>
    <row r="57" ht="15.75" customHeight="1" spans="1:8" x14ac:dyDescent="0.25">
      <c r="A57" s="1" t="s">
        <v>206</v>
      </c>
      <c r="B57" s="1" t="s">
        <v>207</v>
      </c>
      <c r="C57" s="1" t="s">
        <v>165</v>
      </c>
      <c r="D57" s="1" t="s">
        <v>98</v>
      </c>
      <c r="E57" s="1" t="s">
        <v>92</v>
      </c>
      <c r="F57" s="1" t="s">
        <v>93</v>
      </c>
      <c r="G57" s="1" t="s">
        <v>208</v>
      </c>
      <c r="H57" s="1"/>
    </row>
    <row r="58" ht="15.75" customHeight="1" spans="1:8" x14ac:dyDescent="0.25">
      <c r="A58" s="1" t="s">
        <v>209</v>
      </c>
      <c r="B58" s="1" t="s">
        <v>210</v>
      </c>
      <c r="C58" s="1" t="s">
        <v>186</v>
      </c>
      <c r="D58" s="1" t="s">
        <v>98</v>
      </c>
      <c r="E58" s="1" t="s">
        <v>12</v>
      </c>
      <c r="F58" s="1" t="s">
        <v>13</v>
      </c>
      <c r="G58" s="1" t="s">
        <v>211</v>
      </c>
      <c r="H58" s="1"/>
    </row>
    <row r="59" ht="15.75" customHeight="1" spans="1:8" x14ac:dyDescent="0.25">
      <c r="A59" s="1" t="s">
        <v>212</v>
      </c>
      <c r="B59" s="1" t="s">
        <v>213</v>
      </c>
      <c r="C59" s="1" t="s">
        <v>10</v>
      </c>
      <c r="D59" s="1" t="s">
        <v>142</v>
      </c>
      <c r="E59" s="1" t="s">
        <v>12</v>
      </c>
      <c r="F59" s="1" t="s">
        <v>13</v>
      </c>
      <c r="G59" s="1" t="s">
        <v>214</v>
      </c>
      <c r="H59" s="1"/>
    </row>
    <row r="60" ht="15.75" customHeight="1" spans="1:8" x14ac:dyDescent="0.25">
      <c r="A60" s="1" t="s">
        <v>215</v>
      </c>
      <c r="B60" s="1" t="s">
        <v>216</v>
      </c>
      <c r="C60" s="1" t="s">
        <v>165</v>
      </c>
      <c r="D60" s="1" t="s">
        <v>98</v>
      </c>
      <c r="E60" s="1" t="s">
        <v>12</v>
      </c>
      <c r="F60" s="1" t="s">
        <v>13</v>
      </c>
      <c r="G60" s="1" t="s">
        <v>217</v>
      </c>
      <c r="H60" s="1" t="s">
        <v>218</v>
      </c>
    </row>
    <row r="61" ht="15.75" customHeight="1" spans="1:8" x14ac:dyDescent="0.25">
      <c r="A61" s="1" t="s">
        <v>219</v>
      </c>
      <c r="B61" s="1" t="s">
        <v>220</v>
      </c>
      <c r="C61" s="1" t="s">
        <v>165</v>
      </c>
      <c r="D61" s="1" t="s">
        <v>98</v>
      </c>
      <c r="E61" s="1" t="s">
        <v>12</v>
      </c>
      <c r="F61" s="1" t="s">
        <v>13</v>
      </c>
      <c r="G61" s="1" t="s">
        <v>221</v>
      </c>
      <c r="H61" s="1"/>
    </row>
    <row r="62" ht="15.75" customHeight="1" spans="1:8" x14ac:dyDescent="0.25">
      <c r="A62" s="1" t="s">
        <v>222</v>
      </c>
      <c r="B62" s="1" t="s">
        <v>223</v>
      </c>
      <c r="C62" s="1" t="s">
        <v>186</v>
      </c>
      <c r="D62" s="1" t="s">
        <v>98</v>
      </c>
      <c r="E62" s="1" t="s">
        <v>12</v>
      </c>
      <c r="F62" s="1" t="s">
        <v>13</v>
      </c>
      <c r="G62" s="1" t="s">
        <v>224</v>
      </c>
      <c r="H62" s="1"/>
    </row>
    <row r="63" ht="15.75" customHeight="1" spans="1:8" x14ac:dyDescent="0.25">
      <c r="A63" s="1" t="s">
        <v>225</v>
      </c>
      <c r="B63" s="1" t="s">
        <v>226</v>
      </c>
      <c r="C63" s="1" t="s">
        <v>186</v>
      </c>
      <c r="D63" s="1" t="s">
        <v>98</v>
      </c>
      <c r="E63" s="1" t="s">
        <v>12</v>
      </c>
      <c r="F63" s="1" t="s">
        <v>13</v>
      </c>
      <c r="G63" s="1" t="s">
        <v>227</v>
      </c>
      <c r="H63" s="1"/>
    </row>
    <row r="64" ht="15.75" customHeight="1" spans="1:8" x14ac:dyDescent="0.25">
      <c r="A64" s="1" t="s">
        <v>228</v>
      </c>
      <c r="B64" s="1" t="s">
        <v>229</v>
      </c>
      <c r="C64" s="1" t="s">
        <v>186</v>
      </c>
      <c r="D64" s="1" t="s">
        <v>98</v>
      </c>
      <c r="E64" s="1" t="s">
        <v>12</v>
      </c>
      <c r="F64" s="1" t="s">
        <v>13</v>
      </c>
      <c r="G64" s="1" t="s">
        <v>230</v>
      </c>
      <c r="H64" s="1"/>
    </row>
    <row r="65" ht="15.75" customHeight="1" spans="1:8" x14ac:dyDescent="0.25">
      <c r="A65" s="1" t="s">
        <v>231</v>
      </c>
      <c r="B65" s="1" t="s">
        <v>232</v>
      </c>
      <c r="C65" s="1" t="s">
        <v>63</v>
      </c>
      <c r="D65" s="1" t="s">
        <v>98</v>
      </c>
      <c r="E65" s="1" t="s">
        <v>12</v>
      </c>
      <c r="F65" s="1" t="s">
        <v>13</v>
      </c>
      <c r="G65" s="1" t="s">
        <v>233</v>
      </c>
      <c r="H65" s="1"/>
    </row>
    <row r="66" ht="15.75" customHeight="1" spans="1:8" x14ac:dyDescent="0.25">
      <c r="A66" s="1" t="s">
        <v>234</v>
      </c>
      <c r="B66" s="1" t="s">
        <v>235</v>
      </c>
      <c r="C66" s="1" t="s">
        <v>63</v>
      </c>
      <c r="D66" s="1" t="s">
        <v>98</v>
      </c>
      <c r="E66" s="1" t="s">
        <v>12</v>
      </c>
      <c r="F66" s="1" t="s">
        <v>13</v>
      </c>
      <c r="G66" s="1" t="s">
        <v>236</v>
      </c>
      <c r="H66" s="1"/>
    </row>
    <row r="67" ht="15.75" customHeight="1" spans="1:8" x14ac:dyDescent="0.25">
      <c r="A67" s="1" t="s">
        <v>237</v>
      </c>
      <c r="B67" s="1" t="s">
        <v>238</v>
      </c>
      <c r="C67" s="1" t="s">
        <v>165</v>
      </c>
      <c r="D67" s="1" t="s">
        <v>98</v>
      </c>
      <c r="E67" s="1" t="s">
        <v>12</v>
      </c>
      <c r="F67" s="1" t="s">
        <v>13</v>
      </c>
      <c r="G67" s="1" t="s">
        <v>239</v>
      </c>
      <c r="H67" s="1"/>
    </row>
    <row r="68" ht="15.75" customHeight="1" spans="1:8" x14ac:dyDescent="0.25">
      <c r="A68" s="1" t="s">
        <v>240</v>
      </c>
      <c r="B68" s="1" t="s">
        <v>241</v>
      </c>
      <c r="C68" s="1" t="s">
        <v>165</v>
      </c>
      <c r="D68" s="1" t="s">
        <v>98</v>
      </c>
      <c r="E68" s="1" t="s">
        <v>12</v>
      </c>
      <c r="F68" s="1" t="s">
        <v>13</v>
      </c>
      <c r="G68" s="1" t="s">
        <v>242</v>
      </c>
      <c r="H68" s="1"/>
    </row>
    <row r="69" ht="15.75" customHeight="1" spans="1:8" x14ac:dyDescent="0.25">
      <c r="A69" s="1" t="s">
        <v>243</v>
      </c>
      <c r="B69" s="1" t="s">
        <v>244</v>
      </c>
      <c r="C69" s="1" t="s">
        <v>186</v>
      </c>
      <c r="D69" s="1" t="s">
        <v>98</v>
      </c>
      <c r="E69" s="1" t="s">
        <v>12</v>
      </c>
      <c r="F69" s="1" t="s">
        <v>13</v>
      </c>
      <c r="G69" s="1" t="s">
        <v>245</v>
      </c>
      <c r="H69" s="1"/>
    </row>
    <row r="70" ht="15.75" customHeight="1" spans="1:8" x14ac:dyDescent="0.25">
      <c r="A70" s="1" t="s">
        <v>246</v>
      </c>
      <c r="B70" s="1" t="s">
        <v>247</v>
      </c>
      <c r="C70" s="1" t="s">
        <v>10</v>
      </c>
      <c r="D70" s="1" t="s">
        <v>142</v>
      </c>
      <c r="E70" s="1" t="s">
        <v>12</v>
      </c>
      <c r="F70" s="1" t="s">
        <v>13</v>
      </c>
      <c r="G70" s="1" t="s">
        <v>248</v>
      </c>
      <c r="H70" s="1"/>
    </row>
    <row r="71" ht="15.75" customHeight="1" spans="1:8" x14ac:dyDescent="0.25">
      <c r="A71" s="1" t="s">
        <v>249</v>
      </c>
      <c r="B71" s="1" t="s">
        <v>250</v>
      </c>
      <c r="C71" s="1" t="s">
        <v>186</v>
      </c>
      <c r="D71" s="1" t="s">
        <v>98</v>
      </c>
      <c r="E71" s="1" t="s">
        <v>12</v>
      </c>
      <c r="F71" s="1" t="s">
        <v>13</v>
      </c>
      <c r="G71" s="1" t="s">
        <v>251</v>
      </c>
      <c r="H71" s="1"/>
    </row>
    <row r="72" ht="15.75" customHeight="1" spans="1:8" x14ac:dyDescent="0.25">
      <c r="A72" s="1" t="s">
        <v>252</v>
      </c>
      <c r="B72" s="1" t="s">
        <v>253</v>
      </c>
      <c r="C72" s="1" t="s">
        <v>165</v>
      </c>
      <c r="D72" s="1" t="s">
        <v>98</v>
      </c>
      <c r="E72" s="1" t="s">
        <v>12</v>
      </c>
      <c r="F72" s="1" t="s">
        <v>13</v>
      </c>
      <c r="G72" s="1" t="s">
        <v>254</v>
      </c>
      <c r="H72" s="1"/>
    </row>
    <row r="73" ht="15.75" customHeight="1" spans="1:8" x14ac:dyDescent="0.25">
      <c r="A73" s="1" t="s">
        <v>255</v>
      </c>
      <c r="B73" s="1" t="s">
        <v>256</v>
      </c>
      <c r="C73" s="1" t="s">
        <v>186</v>
      </c>
      <c r="D73" s="1" t="s">
        <v>98</v>
      </c>
      <c r="E73" s="1" t="s">
        <v>12</v>
      </c>
      <c r="F73" s="1" t="s">
        <v>13</v>
      </c>
      <c r="G73" s="1" t="s">
        <v>257</v>
      </c>
      <c r="H73" s="1"/>
    </row>
    <row r="74" ht="15.75" customHeight="1" spans="1:8" x14ac:dyDescent="0.25">
      <c r="A74" s="1" t="s">
        <v>258</v>
      </c>
      <c r="B74" s="1" t="s">
        <v>259</v>
      </c>
      <c r="C74" s="1" t="s">
        <v>10</v>
      </c>
      <c r="D74" s="1" t="s">
        <v>142</v>
      </c>
      <c r="E74" s="1" t="s">
        <v>12</v>
      </c>
      <c r="F74" s="1" t="s">
        <v>13</v>
      </c>
      <c r="G74" s="1" t="s">
        <v>260</v>
      </c>
      <c r="H74" s="1"/>
    </row>
    <row r="75" ht="15.75" customHeight="1" spans="1:8" x14ac:dyDescent="0.25">
      <c r="A75" s="1" t="s">
        <v>261</v>
      </c>
      <c r="B75" s="1" t="s">
        <v>262</v>
      </c>
      <c r="C75" s="1" t="s">
        <v>186</v>
      </c>
      <c r="D75" s="1" t="s">
        <v>98</v>
      </c>
      <c r="E75" s="1" t="s">
        <v>92</v>
      </c>
      <c r="F75" s="1" t="s">
        <v>93</v>
      </c>
      <c r="G75" s="1" t="s">
        <v>263</v>
      </c>
      <c r="H75" s="1"/>
    </row>
    <row r="76" ht="15.75" customHeight="1" spans="1:8" x14ac:dyDescent="0.25">
      <c r="A76" s="1" t="s">
        <v>264</v>
      </c>
      <c r="B76" s="1" t="s">
        <v>265</v>
      </c>
      <c r="C76" s="1" t="s">
        <v>266</v>
      </c>
      <c r="D76" s="1" t="s">
        <v>98</v>
      </c>
      <c r="E76" s="1" t="s">
        <v>92</v>
      </c>
      <c r="F76" s="1" t="s">
        <v>93</v>
      </c>
      <c r="G76" s="1" t="s">
        <v>99</v>
      </c>
      <c r="H76" s="1"/>
    </row>
    <row r="77" ht="15.75" customHeight="1" spans="1:8" x14ac:dyDescent="0.25">
      <c r="A77" s="1" t="s">
        <v>267</v>
      </c>
      <c r="B77" s="1" t="s">
        <v>268</v>
      </c>
      <c r="C77" s="1" t="s">
        <v>269</v>
      </c>
      <c r="D77" s="1" t="s">
        <v>98</v>
      </c>
      <c r="E77" s="1" t="s">
        <v>92</v>
      </c>
      <c r="F77" s="1" t="s">
        <v>93</v>
      </c>
      <c r="G77" s="1" t="s">
        <v>99</v>
      </c>
      <c r="H77" s="1"/>
    </row>
    <row r="78" ht="15.75" customHeight="1" spans="1:8" x14ac:dyDescent="0.25">
      <c r="A78" s="1" t="s">
        <v>270</v>
      </c>
      <c r="B78" s="1" t="s">
        <v>271</v>
      </c>
      <c r="C78" s="1" t="s">
        <v>266</v>
      </c>
      <c r="D78" s="1" t="s">
        <v>98</v>
      </c>
      <c r="E78" s="1" t="s">
        <v>12</v>
      </c>
      <c r="F78" s="1" t="s">
        <v>13</v>
      </c>
      <c r="G78" s="1" t="s">
        <v>272</v>
      </c>
      <c r="H78" s="1"/>
    </row>
    <row r="79" ht="15.75" customHeight="1" spans="1:8" x14ac:dyDescent="0.25">
      <c r="A79" s="1" t="s">
        <v>273</v>
      </c>
      <c r="B79" s="1" t="s">
        <v>274</v>
      </c>
      <c r="C79" s="1" t="s">
        <v>266</v>
      </c>
      <c r="D79" s="1" t="s">
        <v>98</v>
      </c>
      <c r="E79" s="1" t="s">
        <v>12</v>
      </c>
      <c r="F79" s="1" t="s">
        <v>13</v>
      </c>
      <c r="G79" s="1" t="s">
        <v>275</v>
      </c>
      <c r="H79" s="1"/>
    </row>
    <row r="80" ht="15.75" customHeight="1" spans="1:8" x14ac:dyDescent="0.25">
      <c r="A80" s="1" t="s">
        <v>276</v>
      </c>
      <c r="B80" s="1" t="s">
        <v>277</v>
      </c>
      <c r="C80" s="1" t="s">
        <v>97</v>
      </c>
      <c r="D80" s="1" t="s">
        <v>98</v>
      </c>
      <c r="E80" s="1" t="s">
        <v>12</v>
      </c>
      <c r="F80" s="1" t="s">
        <v>13</v>
      </c>
      <c r="G80" s="1" t="s">
        <v>278</v>
      </c>
      <c r="H80" s="1"/>
    </row>
    <row r="81" ht="15.75" customHeight="1" spans="1:8" x14ac:dyDescent="0.25">
      <c r="A81" s="1" t="s">
        <v>279</v>
      </c>
      <c r="B81" s="1" t="s">
        <v>280</v>
      </c>
      <c r="C81" s="1" t="s">
        <v>59</v>
      </c>
      <c r="D81" s="1" t="s">
        <v>98</v>
      </c>
      <c r="E81" s="1" t="s">
        <v>12</v>
      </c>
      <c r="F81" s="1" t="s">
        <v>13</v>
      </c>
      <c r="G81" s="1" t="s">
        <v>281</v>
      </c>
      <c r="H81" s="1"/>
    </row>
    <row r="82" ht="15.75" customHeight="1" spans="1:8" x14ac:dyDescent="0.25">
      <c r="A82" s="1" t="s">
        <v>282</v>
      </c>
      <c r="B82" s="1" t="s">
        <v>283</v>
      </c>
      <c r="C82" s="1" t="s">
        <v>59</v>
      </c>
      <c r="D82" s="1" t="s">
        <v>98</v>
      </c>
      <c r="E82" s="1" t="s">
        <v>12</v>
      </c>
      <c r="F82" s="1" t="s">
        <v>13</v>
      </c>
      <c r="G82" s="1" t="s">
        <v>284</v>
      </c>
      <c r="H82" s="1"/>
    </row>
    <row r="83" ht="15.75" customHeight="1" spans="1:8" x14ac:dyDescent="0.25">
      <c r="A83" s="1" t="s">
        <v>285</v>
      </c>
      <c r="B83" s="1" t="s">
        <v>286</v>
      </c>
      <c r="C83" s="1" t="s">
        <v>10</v>
      </c>
      <c r="D83" s="1" t="s">
        <v>142</v>
      </c>
      <c r="E83" s="1" t="s">
        <v>92</v>
      </c>
      <c r="F83" s="1" t="s">
        <v>93</v>
      </c>
      <c r="G83" s="1" t="s">
        <v>287</v>
      </c>
      <c r="H83" s="1"/>
    </row>
    <row r="84" ht="15.75" customHeight="1" spans="1:8" x14ac:dyDescent="0.25">
      <c r="A84" s="1" t="s">
        <v>288</v>
      </c>
      <c r="B84" s="1" t="s">
        <v>289</v>
      </c>
      <c r="C84" s="1" t="s">
        <v>10</v>
      </c>
      <c r="D84" s="1" t="s">
        <v>142</v>
      </c>
      <c r="E84" s="1" t="s">
        <v>12</v>
      </c>
      <c r="F84" s="1" t="s">
        <v>13</v>
      </c>
      <c r="G84" s="1" t="s">
        <v>290</v>
      </c>
      <c r="H84" s="1"/>
    </row>
    <row r="85" ht="15.75" customHeight="1" spans="1:8" x14ac:dyDescent="0.25">
      <c r="A85" s="1" t="s">
        <v>291</v>
      </c>
      <c r="B85" s="1" t="s">
        <v>292</v>
      </c>
      <c r="C85" s="1" t="s">
        <v>63</v>
      </c>
      <c r="D85" s="1" t="s">
        <v>98</v>
      </c>
      <c r="E85" s="1" t="s">
        <v>12</v>
      </c>
      <c r="F85" s="1" t="s">
        <v>13</v>
      </c>
      <c r="G85" s="1" t="s">
        <v>293</v>
      </c>
      <c r="H85" s="1"/>
    </row>
    <row r="86" ht="15.75" customHeight="1" spans="1:8" x14ac:dyDescent="0.25">
      <c r="A86" s="1" t="s">
        <v>294</v>
      </c>
      <c r="B86" s="1" t="s">
        <v>295</v>
      </c>
      <c r="C86" s="1" t="s">
        <v>63</v>
      </c>
      <c r="D86" s="1" t="s">
        <v>98</v>
      </c>
      <c r="E86" s="1" t="s">
        <v>12</v>
      </c>
      <c r="F86" s="1" t="s">
        <v>13</v>
      </c>
      <c r="G86" s="1" t="s">
        <v>296</v>
      </c>
      <c r="H86" s="1"/>
    </row>
    <row r="87" ht="15.75" customHeight="1" spans="1:8" x14ac:dyDescent="0.25">
      <c r="A87" s="1" t="s">
        <v>297</v>
      </c>
      <c r="B87" s="1" t="s">
        <v>298</v>
      </c>
      <c r="C87" s="1" t="s">
        <v>165</v>
      </c>
      <c r="D87" s="1" t="s">
        <v>98</v>
      </c>
      <c r="E87" s="1" t="s">
        <v>12</v>
      </c>
      <c r="F87" s="1" t="s">
        <v>13</v>
      </c>
      <c r="G87" s="1" t="s">
        <v>299</v>
      </c>
      <c r="H87" s="1"/>
    </row>
    <row r="88" ht="15.75" customHeight="1" spans="1:8" x14ac:dyDescent="0.25">
      <c r="A88" s="1" t="s">
        <v>300</v>
      </c>
      <c r="B88" s="1" t="s">
        <v>301</v>
      </c>
      <c r="C88" s="1" t="s">
        <v>165</v>
      </c>
      <c r="D88" s="1" t="s">
        <v>98</v>
      </c>
      <c r="E88" s="1" t="s">
        <v>12</v>
      </c>
      <c r="F88" s="1" t="s">
        <v>13</v>
      </c>
      <c r="G88" s="1" t="s">
        <v>302</v>
      </c>
      <c r="H88" s="1" t="s">
        <v>303</v>
      </c>
    </row>
    <row r="89" ht="15.75" customHeight="1" spans="1:8" x14ac:dyDescent="0.25">
      <c r="A89" s="1" t="s">
        <v>304</v>
      </c>
      <c r="B89" s="1" t="s">
        <v>305</v>
      </c>
      <c r="C89" s="1" t="s">
        <v>153</v>
      </c>
      <c r="D89" s="1" t="s">
        <v>98</v>
      </c>
      <c r="E89" s="1" t="s">
        <v>12</v>
      </c>
      <c r="F89" s="1" t="s">
        <v>13</v>
      </c>
      <c r="G89" s="1" t="s">
        <v>306</v>
      </c>
      <c r="H89" s="1"/>
    </row>
    <row r="90" ht="15.75" customHeight="1" spans="1:8" x14ac:dyDescent="0.25">
      <c r="A90" s="1" t="s">
        <v>307</v>
      </c>
      <c r="B90" s="1" t="s">
        <v>308</v>
      </c>
      <c r="C90" s="1" t="s">
        <v>127</v>
      </c>
      <c r="D90" s="1" t="s">
        <v>98</v>
      </c>
      <c r="E90" s="1" t="s">
        <v>12</v>
      </c>
      <c r="F90" s="1" t="s">
        <v>13</v>
      </c>
      <c r="G90" s="1" t="s">
        <v>309</v>
      </c>
      <c r="H90" s="1"/>
    </row>
    <row r="91" ht="15.75" customHeight="1" spans="1:8" x14ac:dyDescent="0.25">
      <c r="A91" s="1" t="s">
        <v>310</v>
      </c>
      <c r="B91" s="1" t="s">
        <v>311</v>
      </c>
      <c r="C91" s="1" t="s">
        <v>312</v>
      </c>
      <c r="D91" s="1" t="s">
        <v>98</v>
      </c>
      <c r="E91" s="1" t="s">
        <v>12</v>
      </c>
      <c r="F91" s="1" t="s">
        <v>13</v>
      </c>
      <c r="G91" s="1" t="s">
        <v>313</v>
      </c>
      <c r="H91" s="1"/>
    </row>
    <row r="92" ht="15.75" customHeight="1" spans="1:8" x14ac:dyDescent="0.25">
      <c r="A92" s="1" t="s">
        <v>314</v>
      </c>
      <c r="B92" s="1" t="s">
        <v>315</v>
      </c>
      <c r="C92" s="1" t="s">
        <v>127</v>
      </c>
      <c r="D92" s="1" t="s">
        <v>98</v>
      </c>
      <c r="E92" s="1" t="s">
        <v>12</v>
      </c>
      <c r="F92" s="1" t="s">
        <v>13</v>
      </c>
      <c r="G92" s="1" t="s">
        <v>316</v>
      </c>
      <c r="H92" s="1"/>
    </row>
    <row r="93" ht="15.75" customHeight="1" spans="1:8" x14ac:dyDescent="0.25">
      <c r="A93" s="1" t="s">
        <v>317</v>
      </c>
      <c r="B93" s="1" t="s">
        <v>318</v>
      </c>
      <c r="C93" s="1" t="s">
        <v>319</v>
      </c>
      <c r="D93" s="1" t="s">
        <v>98</v>
      </c>
      <c r="E93" s="1" t="s">
        <v>92</v>
      </c>
      <c r="F93" s="1" t="s">
        <v>93</v>
      </c>
      <c r="G93" s="1" t="s">
        <v>99</v>
      </c>
      <c r="H93" s="1"/>
    </row>
    <row r="94" ht="15.75" customHeight="1" spans="1:8" x14ac:dyDescent="0.25">
      <c r="A94" s="1" t="s">
        <v>320</v>
      </c>
      <c r="B94" s="1" t="s">
        <v>321</v>
      </c>
      <c r="C94" s="1" t="s">
        <v>319</v>
      </c>
      <c r="D94" s="1" t="s">
        <v>98</v>
      </c>
      <c r="E94" s="1" t="s">
        <v>92</v>
      </c>
      <c r="F94" s="1" t="s">
        <v>93</v>
      </c>
      <c r="G94" s="1" t="s">
        <v>99</v>
      </c>
      <c r="H94" s="1"/>
    </row>
    <row r="95" ht="15.75" customHeight="1" spans="1:8" x14ac:dyDescent="0.25">
      <c r="A95" s="1" t="s">
        <v>322</v>
      </c>
      <c r="B95" s="1" t="s">
        <v>323</v>
      </c>
      <c r="C95" s="1" t="s">
        <v>319</v>
      </c>
      <c r="D95" s="1" t="s">
        <v>98</v>
      </c>
      <c r="E95" s="1" t="s">
        <v>92</v>
      </c>
      <c r="F95" s="1" t="s">
        <v>93</v>
      </c>
      <c r="G95" s="1" t="s">
        <v>324</v>
      </c>
      <c r="H95" s="1"/>
    </row>
    <row r="96" ht="15.75" customHeight="1" spans="1:8" x14ac:dyDescent="0.25">
      <c r="A96" s="1" t="s">
        <v>325</v>
      </c>
      <c r="B96" s="1" t="s">
        <v>326</v>
      </c>
      <c r="C96" s="1" t="s">
        <v>269</v>
      </c>
      <c r="D96" s="1" t="s">
        <v>98</v>
      </c>
      <c r="E96" s="1" t="s">
        <v>92</v>
      </c>
      <c r="F96" s="1" t="s">
        <v>93</v>
      </c>
      <c r="G96" s="1" t="s">
        <v>324</v>
      </c>
      <c r="H96" s="1"/>
    </row>
    <row r="97" ht="15.75" customHeight="1" spans="1:8" x14ac:dyDescent="0.25">
      <c r="A97" s="1" t="s">
        <v>327</v>
      </c>
      <c r="B97" s="1" t="s">
        <v>328</v>
      </c>
      <c r="C97" s="1" t="s">
        <v>269</v>
      </c>
      <c r="D97" s="1" t="s">
        <v>98</v>
      </c>
      <c r="E97" s="1" t="s">
        <v>12</v>
      </c>
      <c r="F97" s="1" t="s">
        <v>13</v>
      </c>
      <c r="G97" s="1" t="s">
        <v>329</v>
      </c>
      <c r="H97" s="1"/>
    </row>
    <row r="98" ht="15.75" customHeight="1" spans="1:8" x14ac:dyDescent="0.25">
      <c r="A98" s="1" t="s">
        <v>330</v>
      </c>
      <c r="B98" s="1" t="s">
        <v>331</v>
      </c>
      <c r="C98" s="1" t="s">
        <v>269</v>
      </c>
      <c r="D98" s="1" t="s">
        <v>98</v>
      </c>
      <c r="E98" s="1" t="s">
        <v>92</v>
      </c>
      <c r="F98" s="1" t="s">
        <v>93</v>
      </c>
      <c r="G98" s="1" t="s">
        <v>99</v>
      </c>
      <c r="H98" s="1"/>
    </row>
    <row r="99" ht="15.75" customHeight="1" spans="1:8" x14ac:dyDescent="0.25">
      <c r="A99" s="1" t="s">
        <v>332</v>
      </c>
      <c r="B99" s="1" t="s">
        <v>333</v>
      </c>
      <c r="C99" s="1" t="s">
        <v>269</v>
      </c>
      <c r="D99" s="1" t="s">
        <v>98</v>
      </c>
      <c r="E99" s="1" t="s">
        <v>92</v>
      </c>
      <c r="F99" s="1" t="s">
        <v>93</v>
      </c>
      <c r="G99" s="1" t="s">
        <v>334</v>
      </c>
      <c r="H99" s="1"/>
    </row>
    <row r="100" ht="15.75" customHeight="1" spans="1:8" x14ac:dyDescent="0.25">
      <c r="A100" s="1" t="s">
        <v>335</v>
      </c>
      <c r="B100" s="1" t="s">
        <v>336</v>
      </c>
      <c r="C100" s="1" t="s">
        <v>337</v>
      </c>
      <c r="D100" s="1" t="s">
        <v>98</v>
      </c>
      <c r="E100" s="1" t="s">
        <v>92</v>
      </c>
      <c r="F100" s="1" t="s">
        <v>93</v>
      </c>
      <c r="G100" s="1" t="s">
        <v>324</v>
      </c>
      <c r="H100" s="1"/>
    </row>
    <row r="101" ht="15.75" customHeight="1" spans="1:8" x14ac:dyDescent="0.25">
      <c r="A101" s="1" t="s">
        <v>338</v>
      </c>
      <c r="B101" s="1" t="s">
        <v>339</v>
      </c>
      <c r="C101" s="1" t="s">
        <v>337</v>
      </c>
      <c r="D101" s="1" t="s">
        <v>98</v>
      </c>
      <c r="E101" s="1" t="s">
        <v>92</v>
      </c>
      <c r="F101" s="1" t="s">
        <v>93</v>
      </c>
      <c r="G101" s="1" t="s">
        <v>340</v>
      </c>
      <c r="H101" s="1"/>
    </row>
    <row r="102" ht="15.75" customHeight="1" spans="1:8" x14ac:dyDescent="0.25">
      <c r="A102" s="1" t="s">
        <v>341</v>
      </c>
      <c r="B102" s="1" t="s">
        <v>342</v>
      </c>
      <c r="C102" s="1" t="s">
        <v>337</v>
      </c>
      <c r="D102" s="1" t="s">
        <v>98</v>
      </c>
      <c r="E102" s="1" t="s">
        <v>92</v>
      </c>
      <c r="F102" s="1" t="s">
        <v>93</v>
      </c>
      <c r="G102" s="1" t="s">
        <v>343</v>
      </c>
      <c r="H102" s="1"/>
    </row>
    <row r="103" ht="15.75" customHeight="1" spans="1:8" x14ac:dyDescent="0.25">
      <c r="A103" s="1" t="s">
        <v>344</v>
      </c>
      <c r="B103" s="1" t="s">
        <v>345</v>
      </c>
      <c r="C103" s="1" t="s">
        <v>337</v>
      </c>
      <c r="D103" s="1" t="s">
        <v>98</v>
      </c>
      <c r="E103" s="1" t="s">
        <v>92</v>
      </c>
      <c r="F103" s="1" t="s">
        <v>93</v>
      </c>
      <c r="G103" s="1" t="s">
        <v>324</v>
      </c>
      <c r="H103" s="1"/>
    </row>
    <row r="104" ht="15.75" customHeight="1" spans="1:8" x14ac:dyDescent="0.25">
      <c r="A104" s="1" t="s">
        <v>346</v>
      </c>
      <c r="B104" s="1" t="s">
        <v>347</v>
      </c>
      <c r="C104" s="1" t="s">
        <v>28</v>
      </c>
      <c r="D104" s="1" t="s">
        <v>98</v>
      </c>
      <c r="E104" s="1" t="s">
        <v>12</v>
      </c>
      <c r="F104" s="1" t="s">
        <v>13</v>
      </c>
      <c r="G104" s="1" t="s">
        <v>348</v>
      </c>
      <c r="H104" s="1"/>
    </row>
    <row r="105" ht="15.75" customHeight="1" spans="1:8" x14ac:dyDescent="0.25">
      <c r="A105" s="1" t="s">
        <v>349</v>
      </c>
      <c r="B105" s="1" t="s">
        <v>350</v>
      </c>
      <c r="C105" s="1" t="s">
        <v>28</v>
      </c>
      <c r="D105" s="1" t="s">
        <v>98</v>
      </c>
      <c r="E105" s="1" t="s">
        <v>12</v>
      </c>
      <c r="F105" s="1" t="s">
        <v>13</v>
      </c>
      <c r="G105" s="1" t="s">
        <v>351</v>
      </c>
      <c r="H105" s="1"/>
    </row>
    <row r="106" ht="15.75" customHeight="1" spans="1:8" x14ac:dyDescent="0.25">
      <c r="A106" s="1" t="s">
        <v>352</v>
      </c>
      <c r="B106" s="1" t="s">
        <v>353</v>
      </c>
      <c r="C106" s="1" t="s">
        <v>28</v>
      </c>
      <c r="D106" s="1" t="s">
        <v>98</v>
      </c>
      <c r="E106" s="1" t="s">
        <v>12</v>
      </c>
      <c r="F106" s="1" t="s">
        <v>13</v>
      </c>
      <c r="G106" s="1" t="s">
        <v>354</v>
      </c>
      <c r="H106" s="1"/>
    </row>
    <row r="107" ht="15.75" customHeight="1" spans="1:8" x14ac:dyDescent="0.25">
      <c r="A107" s="1" t="s">
        <v>355</v>
      </c>
      <c r="B107" s="1" t="s">
        <v>356</v>
      </c>
      <c r="C107" s="1" t="s">
        <v>28</v>
      </c>
      <c r="D107" s="1" t="s">
        <v>98</v>
      </c>
      <c r="E107" s="1" t="s">
        <v>12</v>
      </c>
      <c r="F107" s="1" t="s">
        <v>13</v>
      </c>
      <c r="G107" s="1" t="s">
        <v>357</v>
      </c>
      <c r="H107" s="1"/>
    </row>
    <row r="108" ht="15.75" customHeight="1" spans="1:8" x14ac:dyDescent="0.25">
      <c r="A108" s="1" t="s">
        <v>358</v>
      </c>
      <c r="B108" s="1" t="s">
        <v>359</v>
      </c>
      <c r="C108" s="1" t="s">
        <v>28</v>
      </c>
      <c r="D108" s="1" t="s">
        <v>98</v>
      </c>
      <c r="E108" s="1" t="s">
        <v>12</v>
      </c>
      <c r="F108" s="1" t="s">
        <v>13</v>
      </c>
      <c r="G108" s="1" t="s">
        <v>360</v>
      </c>
      <c r="H108" s="1"/>
    </row>
    <row r="109" ht="15.75" customHeight="1" spans="1:8" x14ac:dyDescent="0.25">
      <c r="A109" s="1" t="s">
        <v>361</v>
      </c>
      <c r="B109" s="1" t="s">
        <v>362</v>
      </c>
      <c r="C109" s="1" t="s">
        <v>363</v>
      </c>
      <c r="D109" s="1" t="s">
        <v>98</v>
      </c>
      <c r="E109" s="1" t="s">
        <v>12</v>
      </c>
      <c r="F109" s="1" t="s">
        <v>13</v>
      </c>
      <c r="G109" s="1" t="s">
        <v>364</v>
      </c>
      <c r="H109" s="1"/>
    </row>
    <row r="110" ht="15.75" customHeight="1" spans="1:8" x14ac:dyDescent="0.25">
      <c r="A110" s="1" t="s">
        <v>365</v>
      </c>
      <c r="B110" s="1" t="s">
        <v>366</v>
      </c>
      <c r="C110" s="1" t="s">
        <v>363</v>
      </c>
      <c r="D110" s="1" t="s">
        <v>98</v>
      </c>
      <c r="E110" s="1" t="s">
        <v>12</v>
      </c>
      <c r="F110" s="1" t="s">
        <v>13</v>
      </c>
      <c r="G110" s="1" t="s">
        <v>367</v>
      </c>
      <c r="H110" s="1"/>
    </row>
    <row r="111" ht="15.75" customHeight="1" spans="1:8" x14ac:dyDescent="0.25">
      <c r="A111" s="1" t="s">
        <v>368</v>
      </c>
      <c r="B111" s="1" t="s">
        <v>369</v>
      </c>
      <c r="C111" s="1" t="s">
        <v>370</v>
      </c>
      <c r="D111" s="1" t="s">
        <v>98</v>
      </c>
      <c r="E111" s="1" t="s">
        <v>12</v>
      </c>
      <c r="F111" s="1" t="s">
        <v>13</v>
      </c>
      <c r="G111" s="1" t="s">
        <v>371</v>
      </c>
      <c r="H111" s="1"/>
    </row>
    <row r="112" ht="15.75" customHeight="1" spans="1:8" x14ac:dyDescent="0.25">
      <c r="A112" s="1" t="s">
        <v>372</v>
      </c>
      <c r="B112" s="1" t="s">
        <v>373</v>
      </c>
      <c r="C112" s="1" t="s">
        <v>17</v>
      </c>
      <c r="D112" s="1" t="s">
        <v>98</v>
      </c>
      <c r="E112" s="1" t="s">
        <v>12</v>
      </c>
      <c r="F112" s="1" t="s">
        <v>13</v>
      </c>
      <c r="G112" s="1" t="s">
        <v>374</v>
      </c>
      <c r="H112" s="1"/>
    </row>
    <row r="113" ht="15.75" customHeight="1" spans="1:8" x14ac:dyDescent="0.25">
      <c r="A113" s="1" t="s">
        <v>375</v>
      </c>
      <c r="B113" s="1" t="s">
        <v>376</v>
      </c>
      <c r="C113" s="1" t="s">
        <v>17</v>
      </c>
      <c r="D113" s="1" t="s">
        <v>98</v>
      </c>
      <c r="E113" s="1" t="s">
        <v>12</v>
      </c>
      <c r="F113" s="1" t="s">
        <v>13</v>
      </c>
      <c r="G113" s="1" t="s">
        <v>377</v>
      </c>
      <c r="H113" s="1"/>
    </row>
    <row r="114" ht="15.75" customHeight="1" spans="1:8" x14ac:dyDescent="0.25">
      <c r="A114" s="1" t="s">
        <v>378</v>
      </c>
      <c r="B114" s="1" t="s">
        <v>379</v>
      </c>
      <c r="C114" s="1" t="s">
        <v>17</v>
      </c>
      <c r="D114" s="1" t="s">
        <v>98</v>
      </c>
      <c r="E114" s="1" t="s">
        <v>12</v>
      </c>
      <c r="F114" s="1" t="s">
        <v>13</v>
      </c>
      <c r="G114" s="1" t="s">
        <v>380</v>
      </c>
      <c r="H114" s="1"/>
    </row>
    <row r="115" ht="15.75" customHeight="1" spans="1:8" x14ac:dyDescent="0.25">
      <c r="A115" s="1" t="s">
        <v>381</v>
      </c>
      <c r="B115" s="1" t="s">
        <v>382</v>
      </c>
      <c r="C115" s="1" t="s">
        <v>17</v>
      </c>
      <c r="D115" s="1" t="s">
        <v>98</v>
      </c>
      <c r="E115" s="1" t="s">
        <v>12</v>
      </c>
      <c r="F115" s="1" t="s">
        <v>13</v>
      </c>
      <c r="G115" s="1" t="s">
        <v>383</v>
      </c>
      <c r="H115" s="1"/>
    </row>
    <row r="116" ht="15.75" customHeight="1" spans="1:8" x14ac:dyDescent="0.25">
      <c r="A116" s="1" t="s">
        <v>384</v>
      </c>
      <c r="B116" s="1" t="s">
        <v>385</v>
      </c>
      <c r="C116" s="1" t="s">
        <v>386</v>
      </c>
      <c r="D116" s="1" t="s">
        <v>98</v>
      </c>
      <c r="E116" s="1" t="s">
        <v>12</v>
      </c>
      <c r="F116" s="1" t="s">
        <v>13</v>
      </c>
      <c r="G116" s="1" t="s">
        <v>387</v>
      </c>
      <c r="H116" s="1"/>
    </row>
    <row r="117" ht="15.75" customHeight="1" spans="1:8" x14ac:dyDescent="0.25">
      <c r="A117" s="1" t="s">
        <v>388</v>
      </c>
      <c r="B117" s="1" t="s">
        <v>389</v>
      </c>
      <c r="C117" s="1" t="s">
        <v>386</v>
      </c>
      <c r="D117" s="1" t="s">
        <v>98</v>
      </c>
      <c r="E117" s="1" t="s">
        <v>12</v>
      </c>
      <c r="F117" s="1" t="s">
        <v>13</v>
      </c>
      <c r="G117" s="1" t="s">
        <v>390</v>
      </c>
      <c r="H117" s="1"/>
    </row>
    <row r="118" ht="15.75" customHeight="1" spans="1:8" x14ac:dyDescent="0.25">
      <c r="A118" s="1" t="s">
        <v>391</v>
      </c>
      <c r="B118" s="1" t="s">
        <v>392</v>
      </c>
      <c r="C118" s="1" t="s">
        <v>393</v>
      </c>
      <c r="D118" s="1" t="s">
        <v>98</v>
      </c>
      <c r="E118" s="1" t="s">
        <v>12</v>
      </c>
      <c r="F118" s="1" t="s">
        <v>13</v>
      </c>
      <c r="G118" s="1" t="s">
        <v>394</v>
      </c>
      <c r="H118" s="1"/>
    </row>
    <row r="119" ht="15.75" customHeight="1" spans="1:8" x14ac:dyDescent="0.25">
      <c r="A119" s="1" t="s">
        <v>395</v>
      </c>
      <c r="B119" s="1" t="s">
        <v>396</v>
      </c>
      <c r="C119" s="1" t="s">
        <v>393</v>
      </c>
      <c r="D119" s="1" t="s">
        <v>98</v>
      </c>
      <c r="E119" s="1" t="s">
        <v>12</v>
      </c>
      <c r="F119" s="1" t="s">
        <v>13</v>
      </c>
      <c r="G119" s="1" t="s">
        <v>397</v>
      </c>
      <c r="H119" s="1" t="s">
        <v>159</v>
      </c>
    </row>
    <row r="120" ht="15.75" customHeight="1" spans="1:8" x14ac:dyDescent="0.25">
      <c r="A120" s="1" t="s">
        <v>398</v>
      </c>
      <c r="B120" s="1" t="s">
        <v>399</v>
      </c>
      <c r="C120" s="1" t="s">
        <v>393</v>
      </c>
      <c r="D120" s="1" t="s">
        <v>98</v>
      </c>
      <c r="E120" s="1" t="s">
        <v>12</v>
      </c>
      <c r="F120" s="1" t="s">
        <v>13</v>
      </c>
      <c r="G120" s="1" t="s">
        <v>400</v>
      </c>
      <c r="H120" s="1" t="s">
        <v>401</v>
      </c>
    </row>
    <row r="121" ht="15.75" customHeight="1" spans="1:8" x14ac:dyDescent="0.25">
      <c r="A121" s="1" t="s">
        <v>402</v>
      </c>
      <c r="B121" s="1" t="s">
        <v>403</v>
      </c>
      <c r="C121" s="1" t="s">
        <v>393</v>
      </c>
      <c r="D121" s="1" t="s">
        <v>98</v>
      </c>
      <c r="E121" s="1" t="s">
        <v>12</v>
      </c>
      <c r="F121" s="1" t="s">
        <v>13</v>
      </c>
      <c r="G121" s="1" t="s">
        <v>404</v>
      </c>
      <c r="H121" s="1"/>
    </row>
    <row r="122" ht="15.75" customHeight="1" spans="1:8" x14ac:dyDescent="0.25">
      <c r="A122" s="1" t="s">
        <v>405</v>
      </c>
      <c r="B122" s="1" t="s">
        <v>406</v>
      </c>
      <c r="C122" s="1" t="s">
        <v>393</v>
      </c>
      <c r="D122" s="1" t="s">
        <v>98</v>
      </c>
      <c r="E122" s="1" t="s">
        <v>12</v>
      </c>
      <c r="F122" s="1" t="s">
        <v>13</v>
      </c>
      <c r="G122" s="1" t="s">
        <v>407</v>
      </c>
      <c r="H122" s="1" t="s">
        <v>408</v>
      </c>
    </row>
    <row r="123" ht="15.75" customHeight="1" spans="1:8" x14ac:dyDescent="0.25">
      <c r="A123" s="1" t="s">
        <v>409</v>
      </c>
      <c r="B123" s="1" t="s">
        <v>410</v>
      </c>
      <c r="C123" s="1" t="s">
        <v>393</v>
      </c>
      <c r="D123" s="1" t="s">
        <v>98</v>
      </c>
      <c r="E123" s="1" t="s">
        <v>12</v>
      </c>
      <c r="F123" s="1" t="s">
        <v>13</v>
      </c>
      <c r="G123" s="1" t="s">
        <v>411</v>
      </c>
      <c r="H123" s="1" t="s">
        <v>412</v>
      </c>
    </row>
    <row r="124" ht="15.75" customHeight="1" spans="1:8" x14ac:dyDescent="0.25">
      <c r="A124" s="1" t="s">
        <v>413</v>
      </c>
      <c r="B124" s="1" t="s">
        <v>414</v>
      </c>
      <c r="C124" s="1" t="s">
        <v>415</v>
      </c>
      <c r="D124" s="1" t="s">
        <v>98</v>
      </c>
      <c r="E124" s="1" t="s">
        <v>12</v>
      </c>
      <c r="F124" s="1" t="s">
        <v>13</v>
      </c>
      <c r="G124" s="1" t="s">
        <v>416</v>
      </c>
      <c r="H124" s="1"/>
    </row>
    <row r="125" ht="15.75" customHeight="1" spans="1:8" x14ac:dyDescent="0.25">
      <c r="A125" s="1" t="s">
        <v>417</v>
      </c>
      <c r="B125" s="1" t="s">
        <v>418</v>
      </c>
      <c r="C125" s="1" t="s">
        <v>415</v>
      </c>
      <c r="D125" s="1" t="s">
        <v>98</v>
      </c>
      <c r="E125" s="1" t="s">
        <v>12</v>
      </c>
      <c r="F125" s="1" t="s">
        <v>13</v>
      </c>
      <c r="G125" s="1" t="s">
        <v>419</v>
      </c>
      <c r="H125" s="1"/>
    </row>
    <row r="126" ht="15.75" customHeight="1" spans="1:8" x14ac:dyDescent="0.25">
      <c r="A126" s="1" t="s">
        <v>420</v>
      </c>
      <c r="B126" s="1" t="s">
        <v>421</v>
      </c>
      <c r="C126" s="1" t="s">
        <v>415</v>
      </c>
      <c r="D126" s="1" t="s">
        <v>98</v>
      </c>
      <c r="E126" s="1" t="s">
        <v>12</v>
      </c>
      <c r="F126" s="1" t="s">
        <v>13</v>
      </c>
      <c r="G126" s="1" t="s">
        <v>422</v>
      </c>
      <c r="H126" s="1"/>
    </row>
    <row r="127" ht="15.75" customHeight="1" spans="1:8" x14ac:dyDescent="0.25">
      <c r="A127" s="1" t="s">
        <v>423</v>
      </c>
      <c r="B127" s="1" t="s">
        <v>424</v>
      </c>
      <c r="C127" s="1" t="s">
        <v>425</v>
      </c>
      <c r="D127" s="1" t="s">
        <v>98</v>
      </c>
      <c r="E127" s="1" t="s">
        <v>12</v>
      </c>
      <c r="F127" s="1" t="s">
        <v>13</v>
      </c>
      <c r="G127" s="1" t="s">
        <v>426</v>
      </c>
      <c r="H127" s="1"/>
    </row>
    <row r="128" ht="15.75" customHeight="1" spans="1:8" x14ac:dyDescent="0.25">
      <c r="A128" s="1" t="s">
        <v>427</v>
      </c>
      <c r="B128" s="1" t="s">
        <v>428</v>
      </c>
      <c r="C128" s="1" t="s">
        <v>425</v>
      </c>
      <c r="D128" s="1" t="s">
        <v>98</v>
      </c>
      <c r="E128" s="1" t="s">
        <v>12</v>
      </c>
      <c r="F128" s="1" t="s">
        <v>13</v>
      </c>
      <c r="G128" s="1" t="s">
        <v>429</v>
      </c>
      <c r="H128" s="1"/>
    </row>
    <row r="129" ht="15.75" customHeight="1" spans="1:8" x14ac:dyDescent="0.25">
      <c r="A129" s="1" t="s">
        <v>430</v>
      </c>
      <c r="B129" s="1" t="s">
        <v>431</v>
      </c>
      <c r="C129" s="1" t="s">
        <v>82</v>
      </c>
      <c r="D129" s="1" t="s">
        <v>98</v>
      </c>
      <c r="E129" s="1" t="s">
        <v>12</v>
      </c>
      <c r="F129" s="1" t="s">
        <v>13</v>
      </c>
      <c r="G129" s="1" t="s">
        <v>432</v>
      </c>
      <c r="H129" s="1"/>
    </row>
    <row r="130" ht="15.75" customHeight="1" spans="1:8" x14ac:dyDescent="0.25">
      <c r="A130" s="1" t="s">
        <v>433</v>
      </c>
      <c r="B130" s="1" t="s">
        <v>434</v>
      </c>
      <c r="C130" s="1" t="s">
        <v>82</v>
      </c>
      <c r="D130" s="1" t="s">
        <v>98</v>
      </c>
      <c r="E130" s="1" t="s">
        <v>12</v>
      </c>
      <c r="F130" s="1" t="s">
        <v>13</v>
      </c>
      <c r="G130" s="1" t="s">
        <v>435</v>
      </c>
      <c r="H130" s="1"/>
    </row>
    <row r="131" ht="15.75" customHeight="1" spans="1:8" x14ac:dyDescent="0.25">
      <c r="A131" s="1" t="s">
        <v>436</v>
      </c>
      <c r="B131" s="1" t="s">
        <v>437</v>
      </c>
      <c r="C131" s="1" t="s">
        <v>82</v>
      </c>
      <c r="D131" s="1" t="s">
        <v>98</v>
      </c>
      <c r="E131" s="1" t="s">
        <v>12</v>
      </c>
      <c r="F131" s="1" t="s">
        <v>13</v>
      </c>
      <c r="G131" s="1" t="s">
        <v>438</v>
      </c>
      <c r="H131" s="1"/>
    </row>
    <row r="132" ht="15.75" customHeight="1" spans="1:8" x14ac:dyDescent="0.25">
      <c r="A132" s="1" t="s">
        <v>439</v>
      </c>
      <c r="B132" s="1" t="s">
        <v>440</v>
      </c>
      <c r="C132" s="1" t="s">
        <v>21</v>
      </c>
      <c r="D132" s="1" t="s">
        <v>98</v>
      </c>
      <c r="E132" s="1" t="s">
        <v>12</v>
      </c>
      <c r="F132" s="1" t="s">
        <v>13</v>
      </c>
      <c r="G132" s="1" t="s">
        <v>441</v>
      </c>
      <c r="H132" s="1"/>
    </row>
    <row r="133" ht="15.75" customHeight="1" spans="1:8" x14ac:dyDescent="0.25">
      <c r="A133" s="1" t="s">
        <v>442</v>
      </c>
      <c r="B133" s="1" t="s">
        <v>443</v>
      </c>
      <c r="C133" s="1" t="s">
        <v>21</v>
      </c>
      <c r="D133" s="1" t="s">
        <v>98</v>
      </c>
      <c r="E133" s="1" t="s">
        <v>12</v>
      </c>
      <c r="F133" s="1" t="s">
        <v>13</v>
      </c>
      <c r="G133" s="1" t="s">
        <v>444</v>
      </c>
      <c r="H133" s="1"/>
    </row>
    <row r="134" ht="15.75" customHeight="1" spans="1:8" x14ac:dyDescent="0.25">
      <c r="A134" s="1" t="s">
        <v>445</v>
      </c>
      <c r="B134" s="1" t="s">
        <v>446</v>
      </c>
      <c r="C134" s="1" t="s">
        <v>21</v>
      </c>
      <c r="D134" s="1" t="s">
        <v>98</v>
      </c>
      <c r="E134" s="1" t="s">
        <v>12</v>
      </c>
      <c r="F134" s="1" t="s">
        <v>13</v>
      </c>
      <c r="G134" s="1" t="s">
        <v>447</v>
      </c>
      <c r="H134" s="1"/>
    </row>
    <row r="135" ht="15.75" customHeight="1" spans="1:8" x14ac:dyDescent="0.25">
      <c r="A135" s="1" t="s">
        <v>448</v>
      </c>
      <c r="B135" s="1" t="s">
        <v>449</v>
      </c>
      <c r="C135" s="1" t="s">
        <v>21</v>
      </c>
      <c r="D135" s="1" t="s">
        <v>98</v>
      </c>
      <c r="E135" s="1" t="s">
        <v>12</v>
      </c>
      <c r="F135" s="1" t="s">
        <v>13</v>
      </c>
      <c r="G135" s="1" t="s">
        <v>450</v>
      </c>
      <c r="H135" s="1"/>
    </row>
    <row r="136" ht="15.75" customHeight="1" spans="1:8" x14ac:dyDescent="0.25">
      <c r="A136" s="1" t="s">
        <v>451</v>
      </c>
      <c r="B136" s="1" t="s">
        <v>452</v>
      </c>
      <c r="C136" s="1" t="s">
        <v>21</v>
      </c>
      <c r="D136" s="1" t="s">
        <v>98</v>
      </c>
      <c r="E136" s="1" t="s">
        <v>12</v>
      </c>
      <c r="F136" s="1" t="s">
        <v>13</v>
      </c>
      <c r="G136" s="1" t="s">
        <v>453</v>
      </c>
      <c r="H136" s="1"/>
    </row>
    <row r="137" ht="15.75" customHeight="1" spans="1:8" x14ac:dyDescent="0.25">
      <c r="A137" s="1" t="s">
        <v>454</v>
      </c>
      <c r="B137" s="1" t="s">
        <v>455</v>
      </c>
      <c r="C137" s="1" t="s">
        <v>21</v>
      </c>
      <c r="D137" s="1" t="s">
        <v>98</v>
      </c>
      <c r="E137" s="1" t="s">
        <v>12</v>
      </c>
      <c r="F137" s="1" t="s">
        <v>13</v>
      </c>
      <c r="G137" s="1" t="s">
        <v>456</v>
      </c>
      <c r="H137" s="1"/>
    </row>
    <row r="138" ht="15.75" customHeight="1" spans="1:8" x14ac:dyDescent="0.25">
      <c r="A138" s="1" t="s">
        <v>457</v>
      </c>
      <c r="B138" s="1" t="s">
        <v>458</v>
      </c>
      <c r="C138" s="1" t="s">
        <v>21</v>
      </c>
      <c r="D138" s="1" t="s">
        <v>98</v>
      </c>
      <c r="E138" s="1" t="s">
        <v>12</v>
      </c>
      <c r="F138" s="1" t="s">
        <v>13</v>
      </c>
      <c r="G138" s="1" t="s">
        <v>459</v>
      </c>
      <c r="H138" s="1"/>
    </row>
    <row r="139" ht="15.75" customHeight="1" spans="1:8" x14ac:dyDescent="0.25">
      <c r="A139" s="1" t="s">
        <v>460</v>
      </c>
      <c r="B139" s="1" t="s">
        <v>461</v>
      </c>
      <c r="C139" s="1" t="s">
        <v>21</v>
      </c>
      <c r="D139" s="1" t="s">
        <v>98</v>
      </c>
      <c r="E139" s="1" t="s">
        <v>12</v>
      </c>
      <c r="F139" s="1" t="s">
        <v>13</v>
      </c>
      <c r="G139" s="1" t="s">
        <v>462</v>
      </c>
      <c r="H139" s="1"/>
    </row>
    <row r="140" ht="15.75" customHeight="1" spans="1:8" x14ac:dyDescent="0.25">
      <c r="A140" s="1" t="s">
        <v>463</v>
      </c>
      <c r="B140" s="1" t="s">
        <v>464</v>
      </c>
      <c r="C140" s="1" t="s">
        <v>21</v>
      </c>
      <c r="D140" s="1" t="s">
        <v>98</v>
      </c>
      <c r="E140" s="1" t="s">
        <v>12</v>
      </c>
      <c r="F140" s="1" t="s">
        <v>13</v>
      </c>
      <c r="G140" s="1" t="s">
        <v>465</v>
      </c>
      <c r="H140" s="1"/>
    </row>
    <row r="141" ht="15.75" customHeight="1" spans="1:8" x14ac:dyDescent="0.25">
      <c r="A141" s="1" t="s">
        <v>466</v>
      </c>
      <c r="B141" s="1" t="s">
        <v>467</v>
      </c>
      <c r="C141" s="1" t="s">
        <v>21</v>
      </c>
      <c r="D141" s="1" t="s">
        <v>98</v>
      </c>
      <c r="E141" s="1" t="s">
        <v>12</v>
      </c>
      <c r="F141" s="1" t="s">
        <v>13</v>
      </c>
      <c r="G141" s="1" t="s">
        <v>468</v>
      </c>
      <c r="H141" s="1"/>
    </row>
    <row r="142" ht="15.75" customHeight="1" spans="1:8" x14ac:dyDescent="0.25">
      <c r="A142" s="1" t="s">
        <v>469</v>
      </c>
      <c r="B142" s="1" t="s">
        <v>470</v>
      </c>
      <c r="C142" s="1" t="s">
        <v>21</v>
      </c>
      <c r="D142" s="1" t="s">
        <v>98</v>
      </c>
      <c r="E142" s="1" t="s">
        <v>12</v>
      </c>
      <c r="F142" s="1" t="s">
        <v>13</v>
      </c>
      <c r="G142" s="1" t="s">
        <v>471</v>
      </c>
      <c r="H142" s="1"/>
    </row>
    <row r="143" ht="15.75" customHeight="1" spans="1:8" x14ac:dyDescent="0.25">
      <c r="A143" s="1" t="s">
        <v>472</v>
      </c>
      <c r="B143" s="1" t="s">
        <v>473</v>
      </c>
      <c r="C143" s="1" t="s">
        <v>21</v>
      </c>
      <c r="D143" s="1" t="s">
        <v>98</v>
      </c>
      <c r="E143" s="1" t="s">
        <v>12</v>
      </c>
      <c r="F143" s="1" t="s">
        <v>13</v>
      </c>
      <c r="G143" s="1" t="s">
        <v>474</v>
      </c>
      <c r="H143" s="1"/>
    </row>
    <row r="144" ht="15.75" customHeight="1" spans="1:8" x14ac:dyDescent="0.25">
      <c r="A144" s="1" t="s">
        <v>475</v>
      </c>
      <c r="B144" s="1" t="s">
        <v>476</v>
      </c>
      <c r="C144" s="1" t="s">
        <v>21</v>
      </c>
      <c r="D144" s="1" t="s">
        <v>98</v>
      </c>
      <c r="E144" s="1" t="s">
        <v>12</v>
      </c>
      <c r="F144" s="1" t="s">
        <v>13</v>
      </c>
      <c r="G144" s="1" t="s">
        <v>477</v>
      </c>
      <c r="H144" s="1"/>
    </row>
    <row r="145" ht="15.75" customHeight="1" spans="1:8" x14ac:dyDescent="0.25">
      <c r="A145" s="1" t="s">
        <v>478</v>
      </c>
      <c r="B145" s="1" t="s">
        <v>479</v>
      </c>
      <c r="C145" s="1" t="s">
        <v>21</v>
      </c>
      <c r="D145" s="1" t="s">
        <v>98</v>
      </c>
      <c r="E145" s="1" t="s">
        <v>12</v>
      </c>
      <c r="F145" s="1" t="s">
        <v>13</v>
      </c>
      <c r="G145" s="1" t="s">
        <v>480</v>
      </c>
      <c r="H145" s="1"/>
    </row>
    <row r="146" ht="15.75" customHeight="1" spans="1:8" x14ac:dyDescent="0.25">
      <c r="A146" s="1" t="s">
        <v>481</v>
      </c>
      <c r="B146" s="1" t="s">
        <v>482</v>
      </c>
      <c r="C146" s="1" t="s">
        <v>21</v>
      </c>
      <c r="D146" s="1" t="s">
        <v>98</v>
      </c>
      <c r="E146" s="1" t="s">
        <v>12</v>
      </c>
      <c r="F146" s="1" t="s">
        <v>13</v>
      </c>
      <c r="G146" s="1" t="s">
        <v>483</v>
      </c>
      <c r="H146" s="1"/>
    </row>
    <row r="147" ht="15.75" customHeight="1" spans="1:8" x14ac:dyDescent="0.25">
      <c r="A147" s="1" t="s">
        <v>484</v>
      </c>
      <c r="B147" s="1" t="s">
        <v>485</v>
      </c>
      <c r="C147" s="1" t="s">
        <v>21</v>
      </c>
      <c r="D147" s="1" t="s">
        <v>98</v>
      </c>
      <c r="E147" s="1" t="s">
        <v>12</v>
      </c>
      <c r="F147" s="1" t="s">
        <v>13</v>
      </c>
      <c r="G147" s="1" t="s">
        <v>486</v>
      </c>
      <c r="H147" s="1"/>
    </row>
    <row r="148" ht="15.75" customHeight="1" spans="1:8" x14ac:dyDescent="0.25">
      <c r="A148" s="1" t="s">
        <v>487</v>
      </c>
      <c r="B148" s="1" t="s">
        <v>488</v>
      </c>
      <c r="C148" s="1" t="s">
        <v>21</v>
      </c>
      <c r="D148" s="1" t="s">
        <v>98</v>
      </c>
      <c r="E148" s="1" t="s">
        <v>12</v>
      </c>
      <c r="F148" s="1" t="s">
        <v>13</v>
      </c>
      <c r="G148" s="1" t="s">
        <v>489</v>
      </c>
      <c r="H148" s="1"/>
    </row>
    <row r="149" ht="15.75" customHeight="1" spans="1:8" x14ac:dyDescent="0.25">
      <c r="A149" s="1" t="s">
        <v>490</v>
      </c>
      <c r="B149" s="1" t="s">
        <v>491</v>
      </c>
      <c r="C149" s="1" t="s">
        <v>21</v>
      </c>
      <c r="D149" s="1" t="s">
        <v>98</v>
      </c>
      <c r="E149" s="1" t="s">
        <v>12</v>
      </c>
      <c r="F149" s="1" t="s">
        <v>13</v>
      </c>
      <c r="G149" s="1" t="s">
        <v>492</v>
      </c>
      <c r="H149" s="1"/>
    </row>
    <row r="150" ht="15.75" customHeight="1" spans="1:8" x14ac:dyDescent="0.25">
      <c r="A150" s="1" t="s">
        <v>493</v>
      </c>
      <c r="B150" s="1" t="s">
        <v>494</v>
      </c>
      <c r="C150" s="1" t="s">
        <v>21</v>
      </c>
      <c r="D150" s="1" t="s">
        <v>98</v>
      </c>
      <c r="E150" s="1" t="s">
        <v>12</v>
      </c>
      <c r="F150" s="1" t="s">
        <v>13</v>
      </c>
      <c r="G150" s="1" t="s">
        <v>495</v>
      </c>
      <c r="H150" s="1"/>
    </row>
    <row r="151" ht="15.75" customHeight="1" spans="1:8" x14ac:dyDescent="0.25">
      <c r="A151" s="1" t="s">
        <v>496</v>
      </c>
      <c r="B151" s="1" t="s">
        <v>497</v>
      </c>
      <c r="C151" s="1" t="s">
        <v>21</v>
      </c>
      <c r="D151" s="1" t="s">
        <v>98</v>
      </c>
      <c r="E151" s="1" t="s">
        <v>12</v>
      </c>
      <c r="F151" s="1" t="s">
        <v>13</v>
      </c>
      <c r="G151" s="1" t="s">
        <v>498</v>
      </c>
      <c r="H151" s="1"/>
    </row>
    <row r="152" ht="15.75" customHeight="1" spans="1:8" x14ac:dyDescent="0.25">
      <c r="A152" s="1" t="s">
        <v>499</v>
      </c>
      <c r="B152" s="1" t="s">
        <v>500</v>
      </c>
      <c r="C152" s="1" t="s">
        <v>21</v>
      </c>
      <c r="D152" s="1" t="s">
        <v>98</v>
      </c>
      <c r="E152" s="1" t="s">
        <v>12</v>
      </c>
      <c r="F152" s="1" t="s">
        <v>13</v>
      </c>
      <c r="G152" s="1" t="s">
        <v>501</v>
      </c>
      <c r="H152" s="1"/>
    </row>
    <row r="153" ht="15.75" customHeight="1" spans="1:8" x14ac:dyDescent="0.25">
      <c r="A153" s="1" t="s">
        <v>502</v>
      </c>
      <c r="B153" s="1" t="s">
        <v>503</v>
      </c>
      <c r="C153" s="1" t="s">
        <v>21</v>
      </c>
      <c r="D153" s="1" t="s">
        <v>98</v>
      </c>
      <c r="E153" s="1" t="s">
        <v>12</v>
      </c>
      <c r="F153" s="1" t="s">
        <v>13</v>
      </c>
      <c r="G153" s="1" t="s">
        <v>504</v>
      </c>
      <c r="H153" s="1"/>
    </row>
    <row r="154" ht="15.75" customHeight="1" spans="1:8" x14ac:dyDescent="0.25">
      <c r="A154" s="1" t="s">
        <v>505</v>
      </c>
      <c r="B154" s="1" t="s">
        <v>506</v>
      </c>
      <c r="C154" s="1" t="s">
        <v>21</v>
      </c>
      <c r="D154" s="1" t="s">
        <v>98</v>
      </c>
      <c r="E154" s="1" t="s">
        <v>12</v>
      </c>
      <c r="F154" s="1" t="s">
        <v>13</v>
      </c>
      <c r="G154" s="1" t="s">
        <v>507</v>
      </c>
      <c r="H154" s="1"/>
    </row>
    <row r="155" ht="15.75" customHeight="1" spans="1:8" x14ac:dyDescent="0.25">
      <c r="A155" s="1" t="s">
        <v>508</v>
      </c>
      <c r="B155" s="1" t="s">
        <v>509</v>
      </c>
      <c r="C155" s="1" t="s">
        <v>21</v>
      </c>
      <c r="D155" s="1" t="s">
        <v>98</v>
      </c>
      <c r="E155" s="1" t="s">
        <v>12</v>
      </c>
      <c r="F155" s="1" t="s">
        <v>13</v>
      </c>
      <c r="G155" s="1" t="s">
        <v>510</v>
      </c>
      <c r="H155" s="1"/>
    </row>
    <row r="156" ht="15.75" customHeight="1" spans="1:8" x14ac:dyDescent="0.25">
      <c r="A156" s="1" t="s">
        <v>511</v>
      </c>
      <c r="B156" s="1" t="s">
        <v>512</v>
      </c>
      <c r="C156" s="1" t="s">
        <v>21</v>
      </c>
      <c r="D156" s="1" t="s">
        <v>98</v>
      </c>
      <c r="E156" s="1" t="s">
        <v>12</v>
      </c>
      <c r="F156" s="1" t="s">
        <v>13</v>
      </c>
      <c r="G156" s="1" t="s">
        <v>513</v>
      </c>
      <c r="H156" s="1"/>
    </row>
    <row r="157" ht="15.75" customHeight="1" spans="1:8" x14ac:dyDescent="0.25">
      <c r="A157" s="1" t="s">
        <v>514</v>
      </c>
      <c r="B157" s="1" t="s">
        <v>515</v>
      </c>
      <c r="C157" s="1" t="s">
        <v>21</v>
      </c>
      <c r="D157" s="1" t="s">
        <v>98</v>
      </c>
      <c r="E157" s="1" t="s">
        <v>12</v>
      </c>
      <c r="F157" s="1" t="s">
        <v>13</v>
      </c>
      <c r="G157" s="1" t="s">
        <v>516</v>
      </c>
      <c r="H157" s="1"/>
    </row>
    <row r="158" ht="15.75" customHeight="1" spans="1:8" x14ac:dyDescent="0.25">
      <c r="A158" s="1" t="s">
        <v>517</v>
      </c>
      <c r="B158" s="1" t="s">
        <v>518</v>
      </c>
      <c r="C158" s="1" t="s">
        <v>21</v>
      </c>
      <c r="D158" s="1" t="s">
        <v>98</v>
      </c>
      <c r="E158" s="1" t="s">
        <v>12</v>
      </c>
      <c r="F158" s="1" t="s">
        <v>13</v>
      </c>
      <c r="G158" s="1" t="s">
        <v>519</v>
      </c>
      <c r="H158" s="1" t="s">
        <v>520</v>
      </c>
    </row>
    <row r="159" ht="15.75" customHeight="1" spans="1:8" x14ac:dyDescent="0.25">
      <c r="A159" s="1" t="s">
        <v>521</v>
      </c>
      <c r="B159" s="1" t="s">
        <v>522</v>
      </c>
      <c r="C159" s="1" t="s">
        <v>21</v>
      </c>
      <c r="D159" s="1" t="s">
        <v>98</v>
      </c>
      <c r="E159" s="1" t="s">
        <v>12</v>
      </c>
      <c r="F159" s="1" t="s">
        <v>13</v>
      </c>
      <c r="G159" s="1" t="s">
        <v>523</v>
      </c>
      <c r="H159" s="1"/>
    </row>
    <row r="160" ht="15.75" customHeight="1" spans="1:8" x14ac:dyDescent="0.25">
      <c r="A160" s="1" t="s">
        <v>524</v>
      </c>
      <c r="B160" s="1" t="s">
        <v>525</v>
      </c>
      <c r="C160" s="1" t="s">
        <v>21</v>
      </c>
      <c r="D160" s="1" t="s">
        <v>98</v>
      </c>
      <c r="E160" s="1" t="s">
        <v>12</v>
      </c>
      <c r="F160" s="1" t="s">
        <v>13</v>
      </c>
      <c r="G160" s="1" t="s">
        <v>526</v>
      </c>
      <c r="H160" s="1"/>
    </row>
    <row r="161" ht="15.75" customHeight="1" spans="1:8" x14ac:dyDescent="0.25">
      <c r="A161" s="1" t="s">
        <v>527</v>
      </c>
      <c r="B161" s="1" t="s">
        <v>528</v>
      </c>
      <c r="C161" s="1" t="s">
        <v>21</v>
      </c>
      <c r="D161" s="1" t="s">
        <v>98</v>
      </c>
      <c r="E161" s="1" t="s">
        <v>12</v>
      </c>
      <c r="F161" s="1" t="s">
        <v>13</v>
      </c>
      <c r="G161" s="1" t="s">
        <v>529</v>
      </c>
      <c r="H161" s="1"/>
    </row>
    <row r="162" ht="15.75" customHeight="1" spans="1:8" x14ac:dyDescent="0.25">
      <c r="A162" s="1" t="s">
        <v>530</v>
      </c>
      <c r="B162" s="1" t="s">
        <v>531</v>
      </c>
      <c r="C162" s="1" t="s">
        <v>21</v>
      </c>
      <c r="D162" s="1" t="s">
        <v>98</v>
      </c>
      <c r="E162" s="1" t="s">
        <v>12</v>
      </c>
      <c r="F162" s="1" t="s">
        <v>13</v>
      </c>
      <c r="G162" s="1" t="s">
        <v>532</v>
      </c>
      <c r="H162" s="1"/>
    </row>
    <row r="163" ht="15.75" customHeight="1" spans="1:8" x14ac:dyDescent="0.25">
      <c r="A163" s="1" t="s">
        <v>533</v>
      </c>
      <c r="B163" s="1" t="s">
        <v>534</v>
      </c>
      <c r="C163" s="1" t="s">
        <v>21</v>
      </c>
      <c r="D163" s="1" t="s">
        <v>98</v>
      </c>
      <c r="E163" s="1" t="s">
        <v>12</v>
      </c>
      <c r="F163" s="1" t="s">
        <v>13</v>
      </c>
      <c r="G163" s="1" t="s">
        <v>535</v>
      </c>
      <c r="H163" s="1"/>
    </row>
    <row r="164" ht="15.75" customHeight="1" spans="1:8" x14ac:dyDescent="0.25">
      <c r="A164" s="1" t="s">
        <v>536</v>
      </c>
      <c r="B164" s="1" t="s">
        <v>537</v>
      </c>
      <c r="C164" s="1" t="s">
        <v>21</v>
      </c>
      <c r="D164" s="1" t="s">
        <v>98</v>
      </c>
      <c r="E164" s="1" t="s">
        <v>12</v>
      </c>
      <c r="F164" s="1" t="s">
        <v>13</v>
      </c>
      <c r="G164" s="1" t="s">
        <v>538</v>
      </c>
      <c r="H164" s="1"/>
    </row>
    <row r="165" ht="15.75" customHeight="1" spans="1:8" x14ac:dyDescent="0.25">
      <c r="A165" s="1" t="s">
        <v>539</v>
      </c>
      <c r="B165" s="1" t="s">
        <v>540</v>
      </c>
      <c r="C165" s="1" t="s">
        <v>21</v>
      </c>
      <c r="D165" s="1" t="s">
        <v>98</v>
      </c>
      <c r="E165" s="1" t="s">
        <v>12</v>
      </c>
      <c r="F165" s="1" t="s">
        <v>13</v>
      </c>
      <c r="G165" s="1" t="s">
        <v>541</v>
      </c>
      <c r="H165" s="1"/>
    </row>
    <row r="166" ht="15.75" customHeight="1" spans="1:8" x14ac:dyDescent="0.25">
      <c r="A166" s="1" t="s">
        <v>542</v>
      </c>
      <c r="B166" s="1" t="s">
        <v>543</v>
      </c>
      <c r="C166" s="1" t="s">
        <v>21</v>
      </c>
      <c r="D166" s="1" t="s">
        <v>98</v>
      </c>
      <c r="E166" s="1" t="s">
        <v>12</v>
      </c>
      <c r="F166" s="1" t="s">
        <v>13</v>
      </c>
      <c r="G166" s="1" t="s">
        <v>544</v>
      </c>
      <c r="H166" s="1"/>
    </row>
    <row r="167" ht="15.75" customHeight="1" spans="1:8" x14ac:dyDescent="0.25">
      <c r="A167" s="1" t="s">
        <v>545</v>
      </c>
      <c r="B167" s="1" t="s">
        <v>546</v>
      </c>
      <c r="C167" s="1" t="s">
        <v>21</v>
      </c>
      <c r="D167" s="1" t="s">
        <v>98</v>
      </c>
      <c r="E167" s="1" t="s">
        <v>12</v>
      </c>
      <c r="F167" s="1" t="s">
        <v>13</v>
      </c>
      <c r="G167" s="1" t="s">
        <v>547</v>
      </c>
      <c r="H167" s="1" t="s">
        <v>42</v>
      </c>
    </row>
    <row r="168" ht="15.75" customHeight="1" spans="1:8" x14ac:dyDescent="0.25">
      <c r="A168" s="1" t="s">
        <v>548</v>
      </c>
      <c r="B168" s="1" t="s">
        <v>549</v>
      </c>
      <c r="C168" s="1" t="s">
        <v>21</v>
      </c>
      <c r="D168" s="1" t="s">
        <v>98</v>
      </c>
      <c r="E168" s="1" t="s">
        <v>12</v>
      </c>
      <c r="F168" s="1" t="s">
        <v>13</v>
      </c>
      <c r="G168" s="1" t="s">
        <v>550</v>
      </c>
      <c r="H168" s="1" t="s">
        <v>551</v>
      </c>
    </row>
    <row r="169" ht="15.75" customHeight="1" spans="1:8" x14ac:dyDescent="0.25">
      <c r="A169" s="1" t="s">
        <v>552</v>
      </c>
      <c r="B169" s="1" t="s">
        <v>553</v>
      </c>
      <c r="C169" s="1" t="s">
        <v>21</v>
      </c>
      <c r="D169" s="1" t="s">
        <v>98</v>
      </c>
      <c r="E169" s="1" t="s">
        <v>12</v>
      </c>
      <c r="F169" s="1" t="s">
        <v>13</v>
      </c>
      <c r="G169" s="1" t="s">
        <v>554</v>
      </c>
      <c r="H169" s="1"/>
    </row>
    <row r="170" ht="15.75" customHeight="1" spans="1:8" x14ac:dyDescent="0.25">
      <c r="A170" s="1" t="s">
        <v>555</v>
      </c>
      <c r="B170" s="1" t="s">
        <v>556</v>
      </c>
      <c r="C170" s="1" t="s">
        <v>21</v>
      </c>
      <c r="D170" s="1" t="s">
        <v>98</v>
      </c>
      <c r="E170" s="1" t="s">
        <v>12</v>
      </c>
      <c r="F170" s="1" t="s">
        <v>13</v>
      </c>
      <c r="G170" s="1" t="s">
        <v>557</v>
      </c>
      <c r="H170" s="1"/>
    </row>
    <row r="171" ht="15.75" customHeight="1" spans="1:8" x14ac:dyDescent="0.25">
      <c r="A171" s="1" t="s">
        <v>558</v>
      </c>
      <c r="B171" s="1" t="s">
        <v>559</v>
      </c>
      <c r="C171" s="1" t="s">
        <v>21</v>
      </c>
      <c r="D171" s="1" t="s">
        <v>98</v>
      </c>
      <c r="E171" s="1" t="s">
        <v>12</v>
      </c>
      <c r="F171" s="1" t="s">
        <v>13</v>
      </c>
      <c r="G171" s="1" t="s">
        <v>560</v>
      </c>
      <c r="H171" s="1"/>
    </row>
    <row r="172" ht="15.75" customHeight="1" spans="1:8" x14ac:dyDescent="0.25">
      <c r="A172" s="1" t="s">
        <v>561</v>
      </c>
      <c r="B172" s="1" t="s">
        <v>562</v>
      </c>
      <c r="C172" s="1" t="s">
        <v>21</v>
      </c>
      <c r="D172" s="1" t="s">
        <v>98</v>
      </c>
      <c r="E172" s="1" t="s">
        <v>12</v>
      </c>
      <c r="F172" s="1" t="s">
        <v>13</v>
      </c>
      <c r="G172" s="1" t="s">
        <v>563</v>
      </c>
      <c r="H172" s="1"/>
    </row>
    <row r="173" ht="15.75" customHeight="1" spans="1:8" x14ac:dyDescent="0.25">
      <c r="A173" s="1" t="s">
        <v>564</v>
      </c>
      <c r="B173" s="1" t="s">
        <v>565</v>
      </c>
      <c r="C173" s="1" t="s">
        <v>21</v>
      </c>
      <c r="D173" s="1" t="s">
        <v>98</v>
      </c>
      <c r="E173" s="1" t="s">
        <v>12</v>
      </c>
      <c r="F173" s="1" t="s">
        <v>13</v>
      </c>
      <c r="G173" s="1" t="s">
        <v>566</v>
      </c>
      <c r="H173" s="1"/>
    </row>
    <row r="174" ht="15.75" customHeight="1" spans="1:8" x14ac:dyDescent="0.25">
      <c r="A174" s="1" t="s">
        <v>567</v>
      </c>
      <c r="B174" s="1" t="s">
        <v>568</v>
      </c>
      <c r="C174" s="1" t="s">
        <v>21</v>
      </c>
      <c r="D174" s="1" t="s">
        <v>98</v>
      </c>
      <c r="E174" s="1" t="s">
        <v>12</v>
      </c>
      <c r="F174" s="1" t="s">
        <v>13</v>
      </c>
      <c r="G174" s="1" t="s">
        <v>569</v>
      </c>
      <c r="H174" s="1"/>
    </row>
    <row r="175" ht="15.75" customHeight="1" spans="1:8" x14ac:dyDescent="0.25">
      <c r="A175" s="1" t="s">
        <v>570</v>
      </c>
      <c r="B175" s="1" t="s">
        <v>571</v>
      </c>
      <c r="C175" s="1" t="s">
        <v>21</v>
      </c>
      <c r="D175" s="1" t="s">
        <v>98</v>
      </c>
      <c r="E175" s="1" t="s">
        <v>572</v>
      </c>
      <c r="F175" s="1" t="s">
        <v>13</v>
      </c>
      <c r="G175" s="1" t="s">
        <v>573</v>
      </c>
      <c r="H175" s="1" t="s">
        <v>574</v>
      </c>
    </row>
    <row r="176" ht="15.75" customHeight="1" spans="1:8" x14ac:dyDescent="0.25">
      <c r="A176" s="1" t="s">
        <v>575</v>
      </c>
      <c r="B176" s="1" t="s">
        <v>576</v>
      </c>
      <c r="C176" s="1" t="s">
        <v>21</v>
      </c>
      <c r="D176" s="1" t="s">
        <v>98</v>
      </c>
      <c r="E176" s="1" t="s">
        <v>12</v>
      </c>
      <c r="F176" s="1" t="s">
        <v>13</v>
      </c>
      <c r="G176" s="1" t="s">
        <v>577</v>
      </c>
      <c r="H176" s="1"/>
    </row>
    <row r="177" ht="15.75" customHeight="1" spans="1:8" x14ac:dyDescent="0.25">
      <c r="A177" s="1" t="s">
        <v>578</v>
      </c>
      <c r="B177" s="1" t="s">
        <v>579</v>
      </c>
      <c r="C177" s="1" t="s">
        <v>21</v>
      </c>
      <c r="D177" s="1" t="s">
        <v>98</v>
      </c>
      <c r="E177" s="1" t="s">
        <v>12</v>
      </c>
      <c r="F177" s="1" t="s">
        <v>13</v>
      </c>
      <c r="G177" s="1" t="s">
        <v>580</v>
      </c>
      <c r="H177" s="1"/>
    </row>
    <row r="178" ht="15.75" customHeight="1" spans="1:8" x14ac:dyDescent="0.25">
      <c r="A178" s="1" t="s">
        <v>581</v>
      </c>
      <c r="B178" s="1" t="s">
        <v>582</v>
      </c>
      <c r="C178" s="1" t="s">
        <v>583</v>
      </c>
      <c r="D178" s="1" t="s">
        <v>98</v>
      </c>
      <c r="E178" s="1" t="s">
        <v>12</v>
      </c>
      <c r="F178" s="1" t="s">
        <v>13</v>
      </c>
      <c r="G178" s="1" t="s">
        <v>584</v>
      </c>
      <c r="H178" s="1"/>
    </row>
    <row r="179" ht="15.75" customHeight="1" spans="1:8" x14ac:dyDescent="0.25">
      <c r="A179" s="1" t="s">
        <v>585</v>
      </c>
      <c r="B179" s="1" t="s">
        <v>586</v>
      </c>
      <c r="C179" s="1" t="s">
        <v>583</v>
      </c>
      <c r="D179" s="1" t="s">
        <v>98</v>
      </c>
      <c r="E179" s="1" t="s">
        <v>12</v>
      </c>
      <c r="F179" s="1" t="s">
        <v>13</v>
      </c>
      <c r="G179" s="1" t="s">
        <v>587</v>
      </c>
      <c r="H179" s="1"/>
    </row>
    <row r="180" ht="15.75" customHeight="1" spans="1:8" x14ac:dyDescent="0.25">
      <c r="A180" s="1" t="s">
        <v>588</v>
      </c>
      <c r="B180" s="1" t="s">
        <v>589</v>
      </c>
      <c r="C180" s="1" t="s">
        <v>28</v>
      </c>
      <c r="D180" s="1" t="s">
        <v>98</v>
      </c>
      <c r="E180" s="1" t="s">
        <v>12</v>
      </c>
      <c r="F180" s="1" t="s">
        <v>13</v>
      </c>
      <c r="G180" s="1" t="s">
        <v>590</v>
      </c>
      <c r="H180" s="1"/>
    </row>
    <row r="181" ht="15.75" customHeight="1" spans="1:8" x14ac:dyDescent="0.25">
      <c r="A181" s="1" t="s">
        <v>591</v>
      </c>
      <c r="B181" s="1" t="s">
        <v>592</v>
      </c>
      <c r="C181" s="1" t="s">
        <v>28</v>
      </c>
      <c r="D181" s="1" t="s">
        <v>98</v>
      </c>
      <c r="E181" s="1" t="s">
        <v>12</v>
      </c>
      <c r="F181" s="1" t="s">
        <v>13</v>
      </c>
      <c r="G181" s="1" t="s">
        <v>593</v>
      </c>
      <c r="H181" s="1" t="s">
        <v>594</v>
      </c>
    </row>
    <row r="182" ht="15.75" customHeight="1" spans="1:8" x14ac:dyDescent="0.25">
      <c r="A182" s="1" t="s">
        <v>595</v>
      </c>
      <c r="B182" s="1" t="s">
        <v>596</v>
      </c>
      <c r="C182" s="1" t="s">
        <v>32</v>
      </c>
      <c r="D182" s="1" t="s">
        <v>98</v>
      </c>
      <c r="E182" s="1" t="s">
        <v>12</v>
      </c>
      <c r="F182" s="1" t="s">
        <v>13</v>
      </c>
      <c r="G182" s="1" t="s">
        <v>597</v>
      </c>
      <c r="H182" s="1" t="s">
        <v>598</v>
      </c>
    </row>
    <row r="183" ht="15.75" customHeight="1" spans="1:8" x14ac:dyDescent="0.25">
      <c r="A183" s="1" t="s">
        <v>599</v>
      </c>
      <c r="B183" s="1" t="s">
        <v>600</v>
      </c>
      <c r="C183" s="1" t="s">
        <v>32</v>
      </c>
      <c r="D183" s="1" t="s">
        <v>98</v>
      </c>
      <c r="E183" s="1" t="s">
        <v>12</v>
      </c>
      <c r="F183" s="1" t="s">
        <v>13</v>
      </c>
      <c r="G183" s="1" t="s">
        <v>239</v>
      </c>
      <c r="H183" s="1"/>
    </row>
    <row r="184" ht="15.75" customHeight="1" spans="1:8" x14ac:dyDescent="0.25">
      <c r="A184" s="1" t="s">
        <v>601</v>
      </c>
      <c r="B184" s="1" t="s">
        <v>602</v>
      </c>
      <c r="C184" s="1" t="s">
        <v>32</v>
      </c>
      <c r="D184" s="1" t="s">
        <v>98</v>
      </c>
      <c r="E184" s="1" t="s">
        <v>12</v>
      </c>
      <c r="F184" s="1" t="s">
        <v>13</v>
      </c>
      <c r="G184" s="1" t="s">
        <v>603</v>
      </c>
      <c r="H184" s="1"/>
    </row>
    <row r="185" ht="15.75" customHeight="1" spans="1:8" x14ac:dyDescent="0.25">
      <c r="A185" s="1" t="s">
        <v>604</v>
      </c>
      <c r="B185" s="1" t="s">
        <v>605</v>
      </c>
      <c r="C185" s="1" t="s">
        <v>32</v>
      </c>
      <c r="D185" s="1" t="s">
        <v>98</v>
      </c>
      <c r="E185" s="1" t="s">
        <v>12</v>
      </c>
      <c r="F185" s="1" t="s">
        <v>13</v>
      </c>
      <c r="G185" s="1" t="s">
        <v>606</v>
      </c>
      <c r="H185" s="1"/>
    </row>
    <row r="186" ht="15.75" customHeight="1" spans="1:8" x14ac:dyDescent="0.25">
      <c r="A186" s="1" t="s">
        <v>607</v>
      </c>
      <c r="B186" s="1" t="s">
        <v>608</v>
      </c>
      <c r="C186" s="1" t="s">
        <v>37</v>
      </c>
      <c r="D186" s="1" t="s">
        <v>98</v>
      </c>
      <c r="E186" s="1" t="s">
        <v>12</v>
      </c>
      <c r="F186" s="1" t="s">
        <v>13</v>
      </c>
      <c r="G186" s="1" t="s">
        <v>609</v>
      </c>
      <c r="H186" s="1" t="s">
        <v>42</v>
      </c>
    </row>
    <row r="187" ht="15.75" customHeight="1" spans="1:8" x14ac:dyDescent="0.25">
      <c r="A187" s="1" t="s">
        <v>610</v>
      </c>
      <c r="B187" s="1" t="s">
        <v>611</v>
      </c>
      <c r="C187" s="1" t="s">
        <v>37</v>
      </c>
      <c r="D187" s="1" t="s">
        <v>98</v>
      </c>
      <c r="E187" s="1" t="s">
        <v>12</v>
      </c>
      <c r="F187" s="1" t="s">
        <v>13</v>
      </c>
      <c r="G187" s="1" t="s">
        <v>612</v>
      </c>
      <c r="H187" s="1"/>
    </row>
    <row r="188" ht="15.75" customHeight="1" spans="1:8" x14ac:dyDescent="0.25">
      <c r="A188" s="1" t="s">
        <v>613</v>
      </c>
      <c r="B188" s="1" t="s">
        <v>614</v>
      </c>
      <c r="C188" s="1" t="s">
        <v>37</v>
      </c>
      <c r="D188" s="1" t="s">
        <v>98</v>
      </c>
      <c r="E188" s="1" t="s">
        <v>92</v>
      </c>
      <c r="F188" s="1" t="s">
        <v>93</v>
      </c>
      <c r="G188" s="1" t="s">
        <v>615</v>
      </c>
      <c r="H188" s="1"/>
    </row>
    <row r="189" ht="15.75" customHeight="1" spans="1:8" x14ac:dyDescent="0.25">
      <c r="A189" s="1" t="s">
        <v>616</v>
      </c>
      <c r="B189" s="1" t="s">
        <v>617</v>
      </c>
      <c r="C189" s="1" t="s">
        <v>37</v>
      </c>
      <c r="D189" s="1" t="s">
        <v>98</v>
      </c>
      <c r="E189" s="1" t="s">
        <v>12</v>
      </c>
      <c r="F189" s="1" t="s">
        <v>13</v>
      </c>
      <c r="G189" s="1" t="s">
        <v>618</v>
      </c>
      <c r="H189" s="1"/>
    </row>
    <row r="190" ht="15.75" customHeight="1" spans="1:8" x14ac:dyDescent="0.25">
      <c r="A190" s="1" t="s">
        <v>619</v>
      </c>
      <c r="B190" s="1" t="s">
        <v>620</v>
      </c>
      <c r="C190" s="1" t="s">
        <v>37</v>
      </c>
      <c r="D190" s="1" t="s">
        <v>98</v>
      </c>
      <c r="E190" s="1" t="s">
        <v>12</v>
      </c>
      <c r="F190" s="1" t="s">
        <v>13</v>
      </c>
      <c r="G190" s="1" t="s">
        <v>621</v>
      </c>
      <c r="H190" s="1"/>
    </row>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zoomScale="100" zoomScaleNormal="100"/>
  </sheetViews>
  <sheetFormatPr defaultRowHeight="15" outlineLevelRow="0" outlineLevelCol="0" x14ac:dyDescent="0" defaultColWidth="11.22"/>
  <cols>
    <col min="1" max="2" width="11.22" customWidth="1"/>
    <col min="3" max="3" width="70" customWidth="1"/>
    <col min="4" max="4" width="34" customWidth="1"/>
    <col min="5" max="6" width="11.22" customWidth="1"/>
  </cols>
  <sheetData>
    <row r="1" ht="15" customHeight="1" spans="1:3" x14ac:dyDescent="0.25">
      <c r="A1" s="1" t="s">
        <v>622</v>
      </c>
      <c r="B1" s="1" t="s">
        <v>623</v>
      </c>
      <c r="C1" s="1" t="s">
        <v>624</v>
      </c>
    </row>
    <row r="2" ht="15" customHeight="1" spans="1:3" x14ac:dyDescent="0.25">
      <c r="A2" s="1" t="s">
        <v>625</v>
      </c>
      <c r="B2" s="1">
        <v>12</v>
      </c>
      <c r="C2" s="1" t="s">
        <v>626</v>
      </c>
    </row>
    <row r="3" ht="15" customHeight="1" spans="1:3" x14ac:dyDescent="0.25">
      <c r="A3" s="1" t="s">
        <v>627</v>
      </c>
      <c r="B3" s="1">
        <v>9</v>
      </c>
      <c r="C3" s="1" t="s">
        <v>628</v>
      </c>
    </row>
    <row r="4" ht="15" customHeight="1" spans="1:3" x14ac:dyDescent="0.25">
      <c r="A4" s="1" t="s">
        <v>629</v>
      </c>
      <c r="B4" s="1">
        <v>1</v>
      </c>
      <c r="C4" s="1" t="s">
        <v>630</v>
      </c>
    </row>
    <row r="5" ht="15" customHeight="1" spans="1:3" x14ac:dyDescent="0.25">
      <c r="A5" s="1" t="s">
        <v>631</v>
      </c>
      <c r="B5" s="1">
        <v>106</v>
      </c>
      <c r="C5" s="1" t="s">
        <v>632</v>
      </c>
    </row>
    <row r="6" spans="3:3" x14ac:dyDescent="0.25">
      <c r="C6" s="1"/>
    </row>
    <row r="7" ht="54.75" customHeight="1" spans="1:3" x14ac:dyDescent="0.25">
      <c r="A7" s="3" t="s">
        <v>633</v>
      </c>
      <c r="B7" s="3" t="s">
        <v>623</v>
      </c>
      <c r="C7" s="3" t="s">
        <v>634</v>
      </c>
    </row>
    <row r="8" ht="54.75" customHeight="1" spans="1:3" x14ac:dyDescent="0.25">
      <c r="A8" s="4" t="s">
        <v>635</v>
      </c>
      <c r="B8" s="5">
        <f>COUNTIF(BLOCKED!$M:$M,A8)</f>
        <v>10</v>
      </c>
      <c r="C8" s="5" t="s">
        <v>636</v>
      </c>
    </row>
    <row r="9" ht="68.25" customHeight="1" spans="1:3" x14ac:dyDescent="0.25">
      <c r="A9" s="6" t="s">
        <v>637</v>
      </c>
      <c r="B9" s="5">
        <f>COUNTIF(BLOCKED!$M:$M,A9)</f>
        <v>10</v>
      </c>
      <c r="C9" s="5" t="s">
        <v>638</v>
      </c>
    </row>
    <row r="10" ht="41.25" customHeight="1" spans="1:3" x14ac:dyDescent="0.25">
      <c r="A10" s="7" t="s">
        <v>639</v>
      </c>
      <c r="B10" s="5">
        <f>COUNTIF(BLOCKED!$M:$M,A10)</f>
        <v>1</v>
      </c>
      <c r="C10" s="5" t="s">
        <v>640</v>
      </c>
    </row>
    <row r="11" ht="41.25" customHeight="1" spans="1:3" x14ac:dyDescent="0.25">
      <c r="A11" s="8" t="s">
        <v>641</v>
      </c>
      <c r="B11" s="5">
        <f>COUNTIF(BLOCKED!$M:$M,A11)</f>
        <v>1</v>
      </c>
      <c r="C11" s="5" t="s">
        <v>642</v>
      </c>
    </row>
    <row r="12" ht="15" customHeight="1" spans="1:3" x14ac:dyDescent="0.25">
      <c r="A12" s="3" t="s">
        <v>643</v>
      </c>
      <c r="B12" s="3">
        <f>SUM(B8:B11)</f>
        <v>22</v>
      </c>
      <c r="C12" s="3"/>
    </row>
    <row r="13" ht="283.5" customHeight="1" spans="1:3" x14ac:dyDescent="0.25">
      <c r="A13" s="5" t="s">
        <v>644</v>
      </c>
      <c r="B13" s="5" t="s">
        <v>645</v>
      </c>
      <c r="C13" s="5"/>
    </row>
    <row r="14" spans="3:3" x14ac:dyDescent="0.25">
      <c r="C14" s="1"/>
    </row>
    <row r="15" spans="1:4" x14ac:dyDescent="0.25">
      <c r="A15" s="3" t="s">
        <v>646</v>
      </c>
      <c r="B15" s="3" t="s">
        <v>623</v>
      </c>
      <c r="C15" s="3" t="s">
        <v>634</v>
      </c>
      <c r="D15" s="3" t="s">
        <v>647</v>
      </c>
    </row>
    <row r="16" spans="1:4" x14ac:dyDescent="0.25">
      <c r="A16" s="7" t="s">
        <v>648</v>
      </c>
      <c r="B16" s="5">
        <f>COUNTIF(BLOCKED!$O:$O,A16)</f>
        <v>1</v>
      </c>
      <c r="C16" s="5" t="s">
        <v>640</v>
      </c>
      <c r="D16" s="5" t="s">
        <v>649</v>
      </c>
    </row>
    <row r="17" spans="1:4" x14ac:dyDescent="0.25">
      <c r="A17" s="7" t="s">
        <v>650</v>
      </c>
      <c r="B17" s="5">
        <f>COUNTIF(BLOCKED!$O:$O,A17)</f>
        <v>1</v>
      </c>
      <c r="C17" s="5" t="s">
        <v>651</v>
      </c>
      <c r="D17" s="5" t="s">
        <v>652</v>
      </c>
    </row>
    <row r="18" spans="1:4" x14ac:dyDescent="0.25">
      <c r="A18" s="4" t="s">
        <v>653</v>
      </c>
      <c r="B18" s="5">
        <f>COUNTIF(BLOCKED!$O:$O,A18)</f>
        <v>8</v>
      </c>
      <c r="C18" s="5" t="s">
        <v>654</v>
      </c>
      <c r="D18" s="5" t="s">
        <v>655</v>
      </c>
    </row>
    <row r="19" spans="1:4" x14ac:dyDescent="0.25">
      <c r="A19" s="8" t="s">
        <v>656</v>
      </c>
      <c r="B19" s="5">
        <f>COUNTIF(BLOCKED!$O:$O,A19)</f>
        <v>3</v>
      </c>
      <c r="C19" s="5" t="s">
        <v>657</v>
      </c>
      <c r="D19" s="5" t="s">
        <v>658</v>
      </c>
    </row>
    <row r="20" spans="1:4" x14ac:dyDescent="0.25">
      <c r="A20" s="6" t="s">
        <v>659</v>
      </c>
      <c r="B20" s="5">
        <f>COUNTIF(BLOCKED!$O:$O,A20)</f>
        <v>9</v>
      </c>
      <c r="C20" s="5" t="s">
        <v>660</v>
      </c>
      <c r="D20" s="5" t="s">
        <v>661</v>
      </c>
    </row>
    <row r="21" ht="15.75" customHeight="1" spans="1:4" x14ac:dyDescent="0.25">
      <c r="A21" s="3" t="s">
        <v>643</v>
      </c>
      <c r="B21" s="3">
        <f>SUM(B16:B20)</f>
        <v>22</v>
      </c>
      <c r="C21" s="3"/>
      <c r="D21" s="3"/>
    </row>
    <row r="22" ht="15.75" customHeight="1" spans="1:4" x14ac:dyDescent="0.25">
      <c r="A22" s="5" t="s">
        <v>662</v>
      </c>
      <c r="B22" s="5" t="s">
        <v>663</v>
      </c>
      <c r="C22" s="5"/>
      <c r="D22" s="5"/>
    </row>
    <row r="23" ht="15.75" customHeight="1" spans="3:3" x14ac:dyDescent="0.25">
      <c r="C23" s="1"/>
    </row>
    <row r="24" ht="15.75" customHeight="1" spans="3:3" x14ac:dyDescent="0.25">
      <c r="C24" s="1"/>
    </row>
    <row r="25" ht="15.75" customHeight="1" spans="3:3" x14ac:dyDescent="0.25">
      <c r="C25" s="1"/>
    </row>
    <row r="26" ht="15.75" customHeight="1" spans="3:3" x14ac:dyDescent="0.25">
      <c r="C26" s="1"/>
    </row>
    <row r="27" ht="15.75" customHeight="1" spans="3:3" x14ac:dyDescent="0.25">
      <c r="C27" s="1"/>
    </row>
    <row r="28" ht="15.75" customHeight="1" spans="3:3" x14ac:dyDescent="0.25">
      <c r="C28" s="1"/>
    </row>
    <row r="29" ht="15.75" customHeight="1" spans="3:3" x14ac:dyDescent="0.25">
      <c r="C29" s="1"/>
    </row>
    <row r="30" ht="15.75" customHeight="1" spans="3:3" x14ac:dyDescent="0.25">
      <c r="C30" s="1"/>
    </row>
    <row r="31" ht="15.75" customHeight="1" spans="3:3" x14ac:dyDescent="0.25">
      <c r="C31" s="1"/>
    </row>
    <row r="32" ht="15.75" customHeight="1" spans="3:3" x14ac:dyDescent="0.25">
      <c r="C32" s="1"/>
    </row>
    <row r="33" ht="15.75" customHeight="1" spans="3:3" x14ac:dyDescent="0.25">
      <c r="C33" s="1"/>
    </row>
    <row r="34" ht="15.75" customHeight="1" spans="3:3" x14ac:dyDescent="0.25">
      <c r="C34" s="1"/>
    </row>
    <row r="35" ht="15.75" customHeight="1" spans="3:3" x14ac:dyDescent="0.25">
      <c r="C35" s="1"/>
    </row>
    <row r="36" ht="15.75" customHeight="1" spans="3:3" x14ac:dyDescent="0.25">
      <c r="C36" s="1"/>
    </row>
    <row r="37" ht="15.75" customHeight="1" spans="3:3" x14ac:dyDescent="0.25">
      <c r="C37" s="1"/>
    </row>
    <row r="38" ht="15.75" customHeight="1" spans="3:3" x14ac:dyDescent="0.25">
      <c r="C38" s="1"/>
    </row>
    <row r="39" ht="15.75" customHeight="1" spans="3:3" x14ac:dyDescent="0.25">
      <c r="C39" s="1"/>
    </row>
    <row r="40" ht="15.75" customHeight="1" spans="3:3" x14ac:dyDescent="0.25">
      <c r="C40" s="1"/>
    </row>
    <row r="41" ht="15.75" customHeight="1" spans="3:3" x14ac:dyDescent="0.25">
      <c r="C41" s="1"/>
    </row>
    <row r="42" ht="15.75" customHeight="1" spans="3:3" x14ac:dyDescent="0.25">
      <c r="C42" s="1"/>
    </row>
    <row r="43" ht="15.75" customHeight="1" spans="3:3" x14ac:dyDescent="0.25">
      <c r="C43" s="1"/>
    </row>
    <row r="44" ht="15.75" customHeight="1" spans="3:3" x14ac:dyDescent="0.25">
      <c r="C44" s="1"/>
    </row>
    <row r="45" ht="15.75" customHeight="1" spans="3:3" x14ac:dyDescent="0.25">
      <c r="C45" s="1"/>
    </row>
    <row r="46" ht="15.75" customHeight="1" spans="3:3" x14ac:dyDescent="0.25">
      <c r="C46" s="1"/>
    </row>
    <row r="47" ht="15.75" customHeight="1" spans="3:3" x14ac:dyDescent="0.25">
      <c r="C47" s="1"/>
    </row>
    <row r="48" ht="15.75" customHeight="1" spans="3:3" x14ac:dyDescent="0.25">
      <c r="C48" s="1"/>
    </row>
    <row r="49" ht="15.75" customHeight="1" spans="3:3" x14ac:dyDescent="0.25">
      <c r="C49" s="1"/>
    </row>
    <row r="50" ht="15.75" customHeight="1" spans="3:3" x14ac:dyDescent="0.25">
      <c r="C50" s="1"/>
    </row>
    <row r="51" ht="15.75" customHeight="1" spans="3:3" x14ac:dyDescent="0.25">
      <c r="C51" s="1"/>
    </row>
    <row r="52" ht="15.75" customHeight="1" spans="3:3" x14ac:dyDescent="0.25">
      <c r="C52" s="1"/>
    </row>
    <row r="53" ht="15.75" customHeight="1" spans="3:3" x14ac:dyDescent="0.25">
      <c r="C53" s="1"/>
    </row>
    <row r="54" ht="15.75" customHeight="1" spans="3:3" x14ac:dyDescent="0.25">
      <c r="C54" s="1"/>
    </row>
    <row r="55" ht="15.75" customHeight="1" spans="3:3" x14ac:dyDescent="0.25">
      <c r="C55" s="1"/>
    </row>
    <row r="56" ht="15.75" customHeight="1" spans="3:3" x14ac:dyDescent="0.25">
      <c r="C56" s="1"/>
    </row>
    <row r="57" ht="15.75" customHeight="1" spans="3:3" x14ac:dyDescent="0.25">
      <c r="C57" s="1"/>
    </row>
    <row r="58" ht="15.75" customHeight="1" spans="3:3" x14ac:dyDescent="0.25">
      <c r="C58" s="1"/>
    </row>
    <row r="59" ht="15.75" customHeight="1" spans="3:3" x14ac:dyDescent="0.25">
      <c r="C59" s="1"/>
    </row>
    <row r="60" ht="15.75" customHeight="1" spans="3:3" x14ac:dyDescent="0.25">
      <c r="C60" s="1"/>
    </row>
    <row r="61" ht="15.75" customHeight="1" spans="3:3" x14ac:dyDescent="0.25">
      <c r="C61" s="1"/>
    </row>
    <row r="62" ht="15.75" customHeight="1" spans="3:3" x14ac:dyDescent="0.25">
      <c r="C62" s="1"/>
    </row>
    <row r="63" ht="15.75" customHeight="1" spans="3:3" x14ac:dyDescent="0.25">
      <c r="C63" s="1"/>
    </row>
    <row r="64" ht="15.75" customHeight="1" spans="3:3" x14ac:dyDescent="0.25">
      <c r="C64" s="1"/>
    </row>
    <row r="65" ht="15.75" customHeight="1" spans="3:3" x14ac:dyDescent="0.25">
      <c r="C65" s="1"/>
    </row>
    <row r="66" ht="15.75" customHeight="1" spans="3:3" x14ac:dyDescent="0.25">
      <c r="C66" s="1"/>
    </row>
    <row r="67" ht="15.75" customHeight="1" spans="3:3" x14ac:dyDescent="0.25">
      <c r="C67" s="1"/>
    </row>
    <row r="68" ht="15.75" customHeight="1" spans="3:3" x14ac:dyDescent="0.25">
      <c r="C68" s="1"/>
    </row>
    <row r="69" ht="15.75" customHeight="1" spans="3:3" x14ac:dyDescent="0.25">
      <c r="C69" s="1"/>
    </row>
    <row r="70" ht="15.75" customHeight="1" spans="3:3" x14ac:dyDescent="0.25">
      <c r="C70" s="1"/>
    </row>
    <row r="71" ht="15.75" customHeight="1" spans="3:3" x14ac:dyDescent="0.25">
      <c r="C71" s="1"/>
    </row>
    <row r="72" ht="15.75" customHeight="1" spans="3:3" x14ac:dyDescent="0.25">
      <c r="C72" s="1"/>
    </row>
    <row r="73" ht="15.75" customHeight="1" spans="3:3" x14ac:dyDescent="0.25">
      <c r="C73" s="1"/>
    </row>
    <row r="74" ht="15.75" customHeight="1" spans="3:3" x14ac:dyDescent="0.25">
      <c r="C74" s="1"/>
    </row>
    <row r="75" ht="15.75" customHeight="1" spans="3:3" x14ac:dyDescent="0.25">
      <c r="C75" s="1"/>
    </row>
    <row r="76" ht="15.75" customHeight="1" spans="3:3" x14ac:dyDescent="0.25">
      <c r="C76" s="1"/>
    </row>
    <row r="77" ht="15.75" customHeight="1" spans="3:3" x14ac:dyDescent="0.25">
      <c r="C77" s="1"/>
    </row>
    <row r="78" ht="15.75" customHeight="1" spans="3:3" x14ac:dyDescent="0.25">
      <c r="C78" s="1"/>
    </row>
    <row r="79" ht="15.75" customHeight="1" spans="3:3" x14ac:dyDescent="0.25">
      <c r="C79" s="1"/>
    </row>
    <row r="80" ht="15.75" customHeight="1" spans="3:3" x14ac:dyDescent="0.25">
      <c r="C80" s="1"/>
    </row>
    <row r="81" ht="15.75" customHeight="1" spans="3:3" x14ac:dyDescent="0.25">
      <c r="C81" s="1"/>
    </row>
    <row r="82" ht="15.75" customHeight="1" spans="3:3" x14ac:dyDescent="0.25">
      <c r="C82" s="1"/>
    </row>
    <row r="83" ht="15.75" customHeight="1" spans="3:3" x14ac:dyDescent="0.25">
      <c r="C83" s="1"/>
    </row>
    <row r="84" ht="15.75" customHeight="1" spans="3:3" x14ac:dyDescent="0.25">
      <c r="C84" s="1"/>
    </row>
    <row r="85" ht="15.75" customHeight="1" spans="3:3" x14ac:dyDescent="0.25">
      <c r="C85" s="1"/>
    </row>
    <row r="86" ht="15.75" customHeight="1" spans="3:3" x14ac:dyDescent="0.25">
      <c r="C86" s="1"/>
    </row>
    <row r="87" ht="15.75" customHeight="1" spans="3:3" x14ac:dyDescent="0.25">
      <c r="C87" s="1"/>
    </row>
    <row r="88" ht="15.75" customHeight="1" spans="3:3" x14ac:dyDescent="0.25">
      <c r="C88" s="1"/>
    </row>
    <row r="89" ht="15.75" customHeight="1" spans="3:3" x14ac:dyDescent="0.25">
      <c r="C89" s="1"/>
    </row>
    <row r="90" ht="15.75" customHeight="1" spans="3:3" x14ac:dyDescent="0.25">
      <c r="C90" s="1"/>
    </row>
    <row r="91" ht="15.75" customHeight="1" spans="3:3" x14ac:dyDescent="0.25">
      <c r="C91" s="1"/>
    </row>
    <row r="92" ht="15.75" customHeight="1" spans="3:3" x14ac:dyDescent="0.25">
      <c r="C92" s="1"/>
    </row>
    <row r="93" ht="15.75" customHeight="1" spans="3:3" x14ac:dyDescent="0.25">
      <c r="C93" s="1"/>
    </row>
    <row r="94" ht="15.75" customHeight="1" spans="3:3" x14ac:dyDescent="0.25">
      <c r="C94" s="1"/>
    </row>
    <row r="95" ht="15.75" customHeight="1" spans="3:3" x14ac:dyDescent="0.25">
      <c r="C95" s="1"/>
    </row>
    <row r="96" ht="15.75" customHeight="1" spans="3:3" x14ac:dyDescent="0.25">
      <c r="C96" s="1"/>
    </row>
    <row r="97" ht="15.75" customHeight="1" spans="3:3" x14ac:dyDescent="0.25">
      <c r="C97" s="1"/>
    </row>
    <row r="98" ht="15.75" customHeight="1" spans="3:3" x14ac:dyDescent="0.25">
      <c r="C98" s="1"/>
    </row>
    <row r="99" ht="15.75" customHeight="1" spans="3:3" x14ac:dyDescent="0.25">
      <c r="C99" s="1"/>
    </row>
    <row r="100" ht="15.75" customHeight="1" spans="3:3" x14ac:dyDescent="0.25">
      <c r="C100" s="1"/>
    </row>
    <row r="101" ht="15.75" customHeight="1" spans="3:3" x14ac:dyDescent="0.25">
      <c r="C101" s="1"/>
    </row>
    <row r="102" ht="15.75" customHeight="1" spans="3:3" x14ac:dyDescent="0.25">
      <c r="C102" s="1"/>
    </row>
    <row r="103" ht="15.75" customHeight="1" spans="3:3" x14ac:dyDescent="0.25">
      <c r="C103" s="1"/>
    </row>
    <row r="104" ht="15.75" customHeight="1" spans="3:3" x14ac:dyDescent="0.25">
      <c r="C104" s="1"/>
    </row>
    <row r="105" ht="15.75" customHeight="1" spans="3:3" x14ac:dyDescent="0.25">
      <c r="C105" s="1"/>
    </row>
    <row r="106" ht="15.75" customHeight="1" spans="3:3" x14ac:dyDescent="0.25">
      <c r="C106" s="1"/>
    </row>
    <row r="107" ht="15.75" customHeight="1" spans="3:3" x14ac:dyDescent="0.25">
      <c r="C107" s="1"/>
    </row>
    <row r="108" ht="15.75" customHeight="1" spans="3:3" x14ac:dyDescent="0.25">
      <c r="C108" s="1"/>
    </row>
    <row r="109" ht="15.75" customHeight="1" spans="3:3" x14ac:dyDescent="0.25">
      <c r="C109" s="1"/>
    </row>
    <row r="110" ht="15.75" customHeight="1" spans="3:3" x14ac:dyDescent="0.25">
      <c r="C110" s="1"/>
    </row>
    <row r="111" ht="15.75" customHeight="1" spans="3:3" x14ac:dyDescent="0.25">
      <c r="C111" s="1"/>
    </row>
    <row r="112" ht="15.75" customHeight="1" spans="3:3" x14ac:dyDescent="0.25">
      <c r="C112" s="1"/>
    </row>
    <row r="113" ht="15.75" customHeight="1" spans="3:3" x14ac:dyDescent="0.25">
      <c r="C113" s="1"/>
    </row>
    <row r="114" ht="15.75" customHeight="1" spans="3:3" x14ac:dyDescent="0.25">
      <c r="C114" s="1"/>
    </row>
    <row r="115" ht="15.75" customHeight="1" spans="3:3" x14ac:dyDescent="0.25">
      <c r="C115" s="1"/>
    </row>
    <row r="116" ht="15.75" customHeight="1" spans="3:3" x14ac:dyDescent="0.25">
      <c r="C116" s="1"/>
    </row>
    <row r="117" ht="15.75" customHeight="1" spans="3:3" x14ac:dyDescent="0.25">
      <c r="C117" s="1"/>
    </row>
    <row r="118" ht="15.75" customHeight="1" spans="3:3" x14ac:dyDescent="0.25">
      <c r="C118" s="1"/>
    </row>
    <row r="119" ht="15.75" customHeight="1" spans="3:3" x14ac:dyDescent="0.25">
      <c r="C119" s="1"/>
    </row>
    <row r="120" ht="15.75" customHeight="1" spans="3:3" x14ac:dyDescent="0.25">
      <c r="C120" s="1"/>
    </row>
    <row r="121" ht="15.75" customHeight="1" spans="3:3" x14ac:dyDescent="0.25">
      <c r="C121" s="1"/>
    </row>
    <row r="122" ht="15.75" customHeight="1" spans="3:3" x14ac:dyDescent="0.25">
      <c r="C122" s="1"/>
    </row>
    <row r="123" ht="15.75" customHeight="1" spans="3:3" x14ac:dyDescent="0.25">
      <c r="C123" s="1"/>
    </row>
    <row r="124" ht="15.75" customHeight="1" spans="3:3" x14ac:dyDescent="0.25">
      <c r="C124" s="1"/>
    </row>
    <row r="125" ht="15.75" customHeight="1" spans="3:3" x14ac:dyDescent="0.25">
      <c r="C125" s="1"/>
    </row>
    <row r="126" ht="15.75" customHeight="1" spans="3:3" x14ac:dyDescent="0.25">
      <c r="C126" s="1"/>
    </row>
    <row r="127" ht="15.75" customHeight="1" spans="3:3" x14ac:dyDescent="0.25">
      <c r="C127" s="1"/>
    </row>
    <row r="128" ht="15.75" customHeight="1" spans="3:3" x14ac:dyDescent="0.25">
      <c r="C128" s="1"/>
    </row>
    <row r="129" ht="15.75" customHeight="1" spans="3:3" x14ac:dyDescent="0.25">
      <c r="C129" s="1"/>
    </row>
    <row r="130" ht="15.75" customHeight="1" spans="3:3" x14ac:dyDescent="0.25">
      <c r="C130" s="1"/>
    </row>
    <row r="131" ht="15.75" customHeight="1" spans="3:3" x14ac:dyDescent="0.25">
      <c r="C131" s="1"/>
    </row>
    <row r="132" ht="15.75" customHeight="1" spans="3:3" x14ac:dyDescent="0.25">
      <c r="C132" s="1"/>
    </row>
    <row r="133" ht="15.75" customHeight="1" spans="3:3" x14ac:dyDescent="0.25">
      <c r="C133" s="1"/>
    </row>
    <row r="134" ht="15.75" customHeight="1" spans="3:3" x14ac:dyDescent="0.25">
      <c r="C134" s="1"/>
    </row>
    <row r="135" ht="15.75" customHeight="1" spans="3:3" x14ac:dyDescent="0.25">
      <c r="C135" s="1"/>
    </row>
    <row r="136" ht="15.75" customHeight="1" spans="3:3" x14ac:dyDescent="0.25">
      <c r="C136" s="1"/>
    </row>
    <row r="137" ht="15.75" customHeight="1" spans="3:3" x14ac:dyDescent="0.25">
      <c r="C137" s="1"/>
    </row>
    <row r="138" ht="15.75" customHeight="1" spans="3:3" x14ac:dyDescent="0.25">
      <c r="C138" s="1"/>
    </row>
    <row r="139" ht="15.75" customHeight="1" spans="3:3" x14ac:dyDescent="0.25">
      <c r="C139" s="1"/>
    </row>
    <row r="140" ht="15.75" customHeight="1" spans="3:3" x14ac:dyDescent="0.25">
      <c r="C140" s="1"/>
    </row>
    <row r="141" ht="15.75" customHeight="1" spans="3:3" x14ac:dyDescent="0.25">
      <c r="C141" s="1"/>
    </row>
    <row r="142" ht="15.75" customHeight="1" spans="3:3" x14ac:dyDescent="0.25">
      <c r="C142" s="1"/>
    </row>
    <row r="143" ht="15.75" customHeight="1" spans="3:3" x14ac:dyDescent="0.25">
      <c r="C143" s="1"/>
    </row>
    <row r="144" ht="15.75" customHeight="1" spans="3:3" x14ac:dyDescent="0.25">
      <c r="C144" s="1"/>
    </row>
    <row r="145" ht="15.75" customHeight="1" spans="3:3" x14ac:dyDescent="0.25">
      <c r="C145" s="1"/>
    </row>
    <row r="146" ht="15.75" customHeight="1" spans="3:3" x14ac:dyDescent="0.25">
      <c r="C146" s="1"/>
    </row>
    <row r="147" ht="15.75" customHeight="1" spans="3:3" x14ac:dyDescent="0.25">
      <c r="C147" s="1"/>
    </row>
    <row r="148" ht="15.75" customHeight="1" spans="3:3" x14ac:dyDescent="0.25">
      <c r="C148" s="1"/>
    </row>
    <row r="149" ht="15.75" customHeight="1" spans="3:3" x14ac:dyDescent="0.25">
      <c r="C149" s="1"/>
    </row>
    <row r="150" ht="15.75" customHeight="1" spans="3:3" x14ac:dyDescent="0.25">
      <c r="C150" s="1"/>
    </row>
    <row r="151" ht="15.75" customHeight="1" spans="3:3" x14ac:dyDescent="0.25">
      <c r="C151" s="1"/>
    </row>
    <row r="152" ht="15.75" customHeight="1" spans="3:3" x14ac:dyDescent="0.25">
      <c r="C152" s="1"/>
    </row>
    <row r="153" ht="15.75" customHeight="1" spans="3:3" x14ac:dyDescent="0.25">
      <c r="C153" s="1"/>
    </row>
    <row r="154" ht="15.75" customHeight="1" spans="3:3" x14ac:dyDescent="0.25">
      <c r="C154" s="1"/>
    </row>
    <row r="155" ht="15.75" customHeight="1" spans="3:3" x14ac:dyDescent="0.25">
      <c r="C155" s="1"/>
    </row>
    <row r="156" ht="15.75" customHeight="1" spans="3:3" x14ac:dyDescent="0.25">
      <c r="C156" s="1"/>
    </row>
    <row r="157" ht="15.75" customHeight="1" spans="3:3" x14ac:dyDescent="0.25">
      <c r="C157" s="1"/>
    </row>
    <row r="158" ht="15.75" customHeight="1" spans="3:3" x14ac:dyDescent="0.25">
      <c r="C158" s="1"/>
    </row>
    <row r="159" ht="15.75" customHeight="1" spans="3:3" x14ac:dyDescent="0.25">
      <c r="C159" s="1"/>
    </row>
    <row r="160" ht="15.75" customHeight="1" spans="3:3" x14ac:dyDescent="0.25">
      <c r="C160" s="1"/>
    </row>
    <row r="161" ht="15.75" customHeight="1" spans="3:3" x14ac:dyDescent="0.25">
      <c r="C161" s="1"/>
    </row>
    <row r="162" ht="15.75" customHeight="1" spans="3:3" x14ac:dyDescent="0.25">
      <c r="C162" s="1"/>
    </row>
    <row r="163" ht="15.75" customHeight="1" spans="3:3" x14ac:dyDescent="0.25">
      <c r="C163" s="1"/>
    </row>
    <row r="164" ht="15.75" customHeight="1" spans="3:3" x14ac:dyDescent="0.25">
      <c r="C164" s="1"/>
    </row>
    <row r="165" ht="15.75" customHeight="1" spans="3:3" x14ac:dyDescent="0.25">
      <c r="C165" s="1"/>
    </row>
    <row r="166" ht="15.75" customHeight="1" spans="3:3" x14ac:dyDescent="0.25">
      <c r="C166" s="1"/>
    </row>
    <row r="167" ht="15.75" customHeight="1" spans="3:3" x14ac:dyDescent="0.25">
      <c r="C167" s="1"/>
    </row>
    <row r="168" ht="15.75" customHeight="1" spans="3:3" x14ac:dyDescent="0.25">
      <c r="C168" s="1"/>
    </row>
    <row r="169" ht="15.75" customHeight="1" spans="3:3" x14ac:dyDescent="0.25">
      <c r="C169" s="1"/>
    </row>
    <row r="170" ht="15.75" customHeight="1" spans="3:3" x14ac:dyDescent="0.25">
      <c r="C170" s="1"/>
    </row>
    <row r="171" ht="15.75" customHeight="1" spans="3:3" x14ac:dyDescent="0.25">
      <c r="C171" s="1"/>
    </row>
    <row r="172" ht="15.75" customHeight="1" spans="3:3" x14ac:dyDescent="0.25">
      <c r="C172" s="1"/>
    </row>
    <row r="173" ht="15.75" customHeight="1" spans="3:3" x14ac:dyDescent="0.25">
      <c r="C173" s="1"/>
    </row>
    <row r="174" ht="15.75" customHeight="1" spans="3:3" x14ac:dyDescent="0.25">
      <c r="C174" s="1"/>
    </row>
    <row r="175" ht="15.75" customHeight="1" spans="3:3" x14ac:dyDescent="0.25">
      <c r="C175" s="1"/>
    </row>
    <row r="176" ht="15.75" customHeight="1" spans="3:3" x14ac:dyDescent="0.25">
      <c r="C176" s="1"/>
    </row>
    <row r="177" ht="15.75" customHeight="1" spans="3:3" x14ac:dyDescent="0.25">
      <c r="C177" s="1"/>
    </row>
    <row r="178" ht="15.75" customHeight="1" spans="3:3" x14ac:dyDescent="0.25">
      <c r="C178" s="1"/>
    </row>
    <row r="179" ht="15.75" customHeight="1" spans="3:3" x14ac:dyDescent="0.25">
      <c r="C179" s="1"/>
    </row>
    <row r="180" ht="15.75" customHeight="1" spans="3:3" x14ac:dyDescent="0.25">
      <c r="C180" s="1"/>
    </row>
    <row r="181" ht="15.75" customHeight="1" spans="3:3" x14ac:dyDescent="0.25">
      <c r="C181" s="1"/>
    </row>
    <row r="182" ht="15.75" customHeight="1" spans="3:3" x14ac:dyDescent="0.25">
      <c r="C182" s="1"/>
    </row>
    <row r="183" ht="15.75" customHeight="1" spans="3:3" x14ac:dyDescent="0.25">
      <c r="C183" s="1"/>
    </row>
    <row r="184" ht="15.75" customHeight="1" spans="3:3" x14ac:dyDescent="0.25">
      <c r="C184" s="1"/>
    </row>
    <row r="185" ht="15.75" customHeight="1" spans="3:3" x14ac:dyDescent="0.25">
      <c r="C185" s="1"/>
    </row>
    <row r="186" ht="15.75" customHeight="1" spans="3:3" x14ac:dyDescent="0.25">
      <c r="C186" s="1"/>
    </row>
    <row r="187" ht="15.75" customHeight="1" spans="3:3" x14ac:dyDescent="0.25">
      <c r="C187" s="1"/>
    </row>
    <row r="188" ht="15.75" customHeight="1" spans="3:3" x14ac:dyDescent="0.25">
      <c r="C188" s="1"/>
    </row>
    <row r="189" ht="15.75" customHeight="1" spans="3:3" x14ac:dyDescent="0.25">
      <c r="C189" s="1"/>
    </row>
    <row r="190" ht="15.75" customHeight="1" spans="3:3" x14ac:dyDescent="0.25">
      <c r="C190" s="1"/>
    </row>
    <row r="191" ht="15.75" customHeight="1" spans="3:3" x14ac:dyDescent="0.25">
      <c r="C191" s="1"/>
    </row>
    <row r="192" ht="15.75" customHeight="1" spans="3:3" x14ac:dyDescent="0.25">
      <c r="C192" s="1"/>
    </row>
    <row r="193" ht="15.75" customHeight="1" spans="3:3" x14ac:dyDescent="0.25">
      <c r="C193" s="1"/>
    </row>
    <row r="194" ht="15.75" customHeight="1" spans="3:3" x14ac:dyDescent="0.25">
      <c r="C194" s="1"/>
    </row>
    <row r="195" ht="15.75" customHeight="1" spans="3:3" x14ac:dyDescent="0.25">
      <c r="C195" s="1"/>
    </row>
    <row r="196" ht="15.75" customHeight="1" spans="3:3" x14ac:dyDescent="0.25">
      <c r="C196" s="1"/>
    </row>
    <row r="197" ht="15.75" customHeight="1" spans="3:3" x14ac:dyDescent="0.25">
      <c r="C197" s="1"/>
    </row>
    <row r="198" ht="15.75" customHeight="1" spans="3:3" x14ac:dyDescent="0.25">
      <c r="C198" s="1"/>
    </row>
    <row r="199" ht="15.75" customHeight="1" spans="3:3" x14ac:dyDescent="0.25">
      <c r="C199" s="1"/>
    </row>
    <row r="200" ht="15.75" customHeight="1" spans="3:3" x14ac:dyDescent="0.25">
      <c r="C200" s="1"/>
    </row>
    <row r="201" ht="15.75" customHeight="1" spans="3:3" x14ac:dyDescent="0.25">
      <c r="C201" s="1"/>
    </row>
    <row r="202" ht="15.75" customHeight="1" spans="3:3" x14ac:dyDescent="0.25">
      <c r="C202" s="1"/>
    </row>
    <row r="203" ht="15.75" customHeight="1" spans="3:3" x14ac:dyDescent="0.25">
      <c r="C203" s="1"/>
    </row>
    <row r="204" ht="15.75" customHeight="1" spans="3:3" x14ac:dyDescent="0.25">
      <c r="C204" s="1"/>
    </row>
    <row r="205" ht="15.75" customHeight="1" spans="3:3" x14ac:dyDescent="0.25">
      <c r="C205" s="1"/>
    </row>
    <row r="206" ht="15.75" customHeight="1" spans="3:3" x14ac:dyDescent="0.25">
      <c r="C206" s="1"/>
    </row>
    <row r="207" ht="15.75" customHeight="1" spans="3:3" x14ac:dyDescent="0.25">
      <c r="C207" s="1"/>
    </row>
    <row r="208" ht="15.75" customHeight="1" spans="3:3" x14ac:dyDescent="0.25">
      <c r="C208" s="1"/>
    </row>
    <row r="209" ht="15.75" customHeight="1" spans="3:3" x14ac:dyDescent="0.25">
      <c r="C209" s="1"/>
    </row>
    <row r="210" ht="15.75" customHeight="1" spans="3:3" x14ac:dyDescent="0.25">
      <c r="C210" s="1"/>
    </row>
    <row r="211" ht="15.75" customHeight="1" spans="3:3" x14ac:dyDescent="0.25">
      <c r="C211" s="1"/>
    </row>
    <row r="212" ht="15.75" customHeight="1" spans="3:3" x14ac:dyDescent="0.25">
      <c r="C212" s="1"/>
    </row>
    <row r="213" ht="15.75" customHeight="1" spans="3:3" x14ac:dyDescent="0.25">
      <c r="C213" s="1"/>
    </row>
    <row r="214" ht="15.75" customHeight="1" spans="3:3" x14ac:dyDescent="0.25">
      <c r="C214" s="1"/>
    </row>
    <row r="215" ht="15.75" customHeight="1" spans="3:3" x14ac:dyDescent="0.25">
      <c r="C215" s="1"/>
    </row>
    <row r="216" ht="15.75" customHeight="1" spans="3:3" x14ac:dyDescent="0.25">
      <c r="C216" s="1"/>
    </row>
    <row r="217" ht="15.75" customHeight="1" spans="3:3" x14ac:dyDescent="0.25">
      <c r="C217" s="1"/>
    </row>
    <row r="218" ht="15.75" customHeight="1" spans="3:3" x14ac:dyDescent="0.25">
      <c r="C218" s="1"/>
    </row>
    <row r="219" ht="15.75" customHeight="1" spans="3:3" x14ac:dyDescent="0.25">
      <c r="C219" s="1"/>
    </row>
    <row r="220" ht="15.75" customHeight="1" spans="3:3" x14ac:dyDescent="0.25">
      <c r="C220" s="1"/>
    </row>
    <row r="221" ht="15.75" customHeight="1" spans="3:3" x14ac:dyDescent="0.25">
      <c r="C221" s="1"/>
    </row>
    <row r="222" ht="15.75" customHeight="1" spans="3:3" x14ac:dyDescent="0.25">
      <c r="C222" s="1"/>
    </row>
    <row r="223" ht="15.75" customHeight="1" spans="3:3" x14ac:dyDescent="0.25">
      <c r="C223" s="1"/>
    </row>
    <row r="224" ht="15.75" customHeight="1" spans="3:3" x14ac:dyDescent="0.25">
      <c r="C224" s="1"/>
    </row>
    <row r="225" ht="15.75" customHeight="1" spans="3:3" x14ac:dyDescent="0.25">
      <c r="C225" s="1"/>
    </row>
    <row r="226" ht="15.75" customHeight="1" spans="3:3" x14ac:dyDescent="0.25">
      <c r="C226" s="1"/>
    </row>
    <row r="227" ht="15.75" customHeight="1" spans="3:3" x14ac:dyDescent="0.25">
      <c r="C227" s="1"/>
    </row>
    <row r="228" ht="15.75" customHeight="1" spans="3:3" x14ac:dyDescent="0.25">
      <c r="C228" s="1"/>
    </row>
    <row r="229" ht="15.75" customHeight="1" spans="3:3" x14ac:dyDescent="0.25">
      <c r="C229" s="1"/>
    </row>
    <row r="230" ht="15.75" customHeight="1" spans="3:3" x14ac:dyDescent="0.25">
      <c r="C230" s="1"/>
    </row>
    <row r="231" ht="15.75" customHeight="1" spans="3:3" x14ac:dyDescent="0.25">
      <c r="C231" s="1"/>
    </row>
    <row r="232" ht="15.75" customHeight="1" spans="3:3" x14ac:dyDescent="0.25">
      <c r="C232" s="1"/>
    </row>
    <row r="233" ht="15.75" customHeight="1" spans="3:3" x14ac:dyDescent="0.25">
      <c r="C233" s="1"/>
    </row>
    <row r="234" ht="15.75" customHeight="1" spans="3:3" x14ac:dyDescent="0.25">
      <c r="C234" s="1"/>
    </row>
    <row r="235" ht="15.75" customHeight="1" spans="3:3" x14ac:dyDescent="0.25">
      <c r="C235" s="1"/>
    </row>
    <row r="236" ht="15.75" customHeight="1" spans="3:3" x14ac:dyDescent="0.25">
      <c r="C236" s="1"/>
    </row>
    <row r="237" ht="15.75" customHeight="1" spans="3:3" x14ac:dyDescent="0.25">
      <c r="C237" s="1"/>
    </row>
    <row r="238" ht="15.75" customHeight="1" spans="3:3" x14ac:dyDescent="0.25">
      <c r="C238" s="1"/>
    </row>
    <row r="239" ht="15.75" customHeight="1" spans="3:3" x14ac:dyDescent="0.25">
      <c r="C239" s="1"/>
    </row>
    <row r="240" ht="15.75" customHeight="1" spans="3:3" x14ac:dyDescent="0.25">
      <c r="C240" s="1"/>
    </row>
    <row r="241" ht="15.75" customHeight="1" spans="3:3" x14ac:dyDescent="0.25">
      <c r="C241" s="1"/>
    </row>
    <row r="242" ht="15.75" customHeight="1" spans="3:3" x14ac:dyDescent="0.25">
      <c r="C242" s="1"/>
    </row>
    <row r="243" ht="15.75" customHeight="1" spans="3:3" x14ac:dyDescent="0.25">
      <c r="C243" s="1"/>
    </row>
    <row r="244" ht="15.75" customHeight="1" spans="3:3" x14ac:dyDescent="0.25">
      <c r="C244" s="1"/>
    </row>
    <row r="245" ht="15.75" customHeight="1" spans="3:3" x14ac:dyDescent="0.25">
      <c r="C245" s="1"/>
    </row>
    <row r="246" ht="15.75" customHeight="1" spans="3:3" x14ac:dyDescent="0.25">
      <c r="C246" s="1"/>
    </row>
    <row r="247" ht="15.75" customHeight="1" spans="3:3" x14ac:dyDescent="0.25">
      <c r="C247" s="1"/>
    </row>
    <row r="248" ht="15.75" customHeight="1" spans="3:3" x14ac:dyDescent="0.25">
      <c r="C248" s="1"/>
    </row>
    <row r="249" ht="15.75" customHeight="1" spans="3:3" x14ac:dyDescent="0.25">
      <c r="C249" s="1"/>
    </row>
    <row r="250" ht="15.75" customHeight="1" spans="3:3" x14ac:dyDescent="0.25">
      <c r="C250" s="1"/>
    </row>
    <row r="251" ht="15.75" customHeight="1" spans="3:3" x14ac:dyDescent="0.25">
      <c r="C251" s="1"/>
    </row>
    <row r="252" ht="15.75" customHeight="1" spans="3:3" x14ac:dyDescent="0.25">
      <c r="C252" s="1"/>
    </row>
    <row r="253" ht="15.75" customHeight="1" spans="3:3" x14ac:dyDescent="0.25">
      <c r="C253" s="1"/>
    </row>
    <row r="254" ht="15.75" customHeight="1" spans="3:3" x14ac:dyDescent="0.25">
      <c r="C254" s="1"/>
    </row>
    <row r="255" ht="15.75" customHeight="1" spans="3:3" x14ac:dyDescent="0.25">
      <c r="C255" s="1"/>
    </row>
    <row r="256" ht="15.75" customHeight="1" spans="3:3" x14ac:dyDescent="0.25">
      <c r="C256" s="1"/>
    </row>
    <row r="257" ht="15.75" customHeight="1" spans="3:3" x14ac:dyDescent="0.25">
      <c r="C257" s="1"/>
    </row>
    <row r="258" ht="15.75" customHeight="1" spans="3:3" x14ac:dyDescent="0.25">
      <c r="C258" s="1"/>
    </row>
    <row r="259" ht="15.75" customHeight="1" spans="3:3" x14ac:dyDescent="0.25">
      <c r="C259" s="1"/>
    </row>
    <row r="260" ht="15.75" customHeight="1" spans="3:3" x14ac:dyDescent="0.25">
      <c r="C260" s="1"/>
    </row>
    <row r="261" ht="15.75" customHeight="1" spans="3:3" x14ac:dyDescent="0.25">
      <c r="C261" s="1"/>
    </row>
    <row r="262" ht="15.75" customHeight="1" spans="3:3" x14ac:dyDescent="0.25">
      <c r="C262" s="1"/>
    </row>
    <row r="263" ht="15.75" customHeight="1" spans="3:3" x14ac:dyDescent="0.25">
      <c r="C263" s="1"/>
    </row>
    <row r="264" ht="15.75" customHeight="1" spans="3:3" x14ac:dyDescent="0.25">
      <c r="C264" s="1"/>
    </row>
    <row r="265" ht="15.75" customHeight="1" spans="3:3" x14ac:dyDescent="0.25">
      <c r="C265" s="1"/>
    </row>
    <row r="266" ht="15.75" customHeight="1" spans="3:3" x14ac:dyDescent="0.25">
      <c r="C266" s="1"/>
    </row>
    <row r="267" ht="15.75" customHeight="1" spans="3:3" x14ac:dyDescent="0.25">
      <c r="C267" s="1"/>
    </row>
    <row r="268" ht="15.75" customHeight="1" spans="3:3" x14ac:dyDescent="0.25">
      <c r="C268" s="1"/>
    </row>
    <row r="269" ht="15.75" customHeight="1" spans="3:3" x14ac:dyDescent="0.25">
      <c r="C269" s="1"/>
    </row>
    <row r="270" ht="15.75" customHeight="1" spans="3:3" x14ac:dyDescent="0.25">
      <c r="C270" s="1"/>
    </row>
    <row r="271" ht="15.75" customHeight="1" spans="3:3" x14ac:dyDescent="0.25">
      <c r="C271" s="1"/>
    </row>
    <row r="272" ht="15.75" customHeight="1" spans="3:3" x14ac:dyDescent="0.25">
      <c r="C272" s="1"/>
    </row>
    <row r="273" ht="15.75" customHeight="1" spans="3:3" x14ac:dyDescent="0.25">
      <c r="C273" s="1"/>
    </row>
    <row r="274" ht="15.75" customHeight="1" spans="3:3" x14ac:dyDescent="0.25">
      <c r="C274" s="1"/>
    </row>
    <row r="275" ht="15.75" customHeight="1" spans="3:3" x14ac:dyDescent="0.25">
      <c r="C275" s="1"/>
    </row>
    <row r="276" ht="15.75" customHeight="1" spans="3:3" x14ac:dyDescent="0.25">
      <c r="C276" s="1"/>
    </row>
    <row r="277" ht="15.75" customHeight="1" spans="3:3" x14ac:dyDescent="0.25">
      <c r="C277" s="1"/>
    </row>
    <row r="278" ht="15.75" customHeight="1" spans="3:3" x14ac:dyDescent="0.25">
      <c r="C278" s="1"/>
    </row>
    <row r="279" ht="15.75" customHeight="1" spans="3:3" x14ac:dyDescent="0.25">
      <c r="C279" s="1"/>
    </row>
    <row r="280" ht="15.75" customHeight="1" spans="3:3" x14ac:dyDescent="0.25">
      <c r="C280" s="1"/>
    </row>
    <row r="281" ht="15.75" customHeight="1" spans="3:3" x14ac:dyDescent="0.25">
      <c r="C281" s="1"/>
    </row>
    <row r="282" ht="15.75" customHeight="1" spans="3:3" x14ac:dyDescent="0.25">
      <c r="C282" s="1"/>
    </row>
    <row r="283" ht="15.75" customHeight="1" spans="3:3" x14ac:dyDescent="0.25">
      <c r="C283" s="1"/>
    </row>
    <row r="284" ht="15.75" customHeight="1" spans="3:3" x14ac:dyDescent="0.25">
      <c r="C284" s="1"/>
    </row>
    <row r="285" ht="15.75" customHeight="1" spans="3:3" x14ac:dyDescent="0.25">
      <c r="C285" s="1"/>
    </row>
    <row r="286" ht="15.75" customHeight="1" spans="3:3" x14ac:dyDescent="0.25">
      <c r="C286" s="1"/>
    </row>
    <row r="287" ht="15.75" customHeight="1" spans="3:3" x14ac:dyDescent="0.25">
      <c r="C287" s="1"/>
    </row>
    <row r="288" ht="15.75" customHeight="1" spans="3:3" x14ac:dyDescent="0.25">
      <c r="C288" s="1"/>
    </row>
    <row r="289" ht="15.75" customHeight="1" spans="3:3" x14ac:dyDescent="0.25">
      <c r="C289" s="1"/>
    </row>
    <row r="290" ht="15.75" customHeight="1" spans="3:3" x14ac:dyDescent="0.25">
      <c r="C290" s="1"/>
    </row>
    <row r="291" ht="15.75" customHeight="1" spans="3:3" x14ac:dyDescent="0.25">
      <c r="C291" s="1"/>
    </row>
    <row r="292" ht="15.75" customHeight="1" spans="3:3" x14ac:dyDescent="0.25">
      <c r="C292" s="1"/>
    </row>
    <row r="293" ht="15.75" customHeight="1" spans="3:3" x14ac:dyDescent="0.25">
      <c r="C293" s="1"/>
    </row>
    <row r="294" ht="15.75" customHeight="1" spans="3:3" x14ac:dyDescent="0.25">
      <c r="C294" s="1"/>
    </row>
    <row r="295" ht="15.75" customHeight="1" spans="3:3" x14ac:dyDescent="0.25">
      <c r="C295" s="1"/>
    </row>
    <row r="296" ht="15.75" customHeight="1" spans="3:3" x14ac:dyDescent="0.25">
      <c r="C296" s="1"/>
    </row>
    <row r="297" ht="15.75" customHeight="1" spans="3:3" x14ac:dyDescent="0.25">
      <c r="C297" s="1"/>
    </row>
    <row r="298" ht="15.75" customHeight="1" spans="3:3" x14ac:dyDescent="0.25">
      <c r="C298" s="1"/>
    </row>
    <row r="299" ht="15.75" customHeight="1" spans="3:3" x14ac:dyDescent="0.25">
      <c r="C299" s="1"/>
    </row>
    <row r="300" ht="15.75" customHeight="1" spans="3:3" x14ac:dyDescent="0.25">
      <c r="C300" s="1"/>
    </row>
    <row r="301" ht="15.75" customHeight="1" spans="3:3" x14ac:dyDescent="0.25">
      <c r="C301" s="1"/>
    </row>
    <row r="302" ht="15.75" customHeight="1" spans="3:3" x14ac:dyDescent="0.25">
      <c r="C302" s="1"/>
    </row>
    <row r="303" ht="15.75" customHeight="1" spans="3:3" x14ac:dyDescent="0.25">
      <c r="C303" s="1"/>
    </row>
    <row r="304" ht="15.75" customHeight="1" spans="3:3" x14ac:dyDescent="0.25">
      <c r="C304" s="1"/>
    </row>
    <row r="305" ht="15.75" customHeight="1" spans="3:3" x14ac:dyDescent="0.25">
      <c r="C305" s="1"/>
    </row>
    <row r="306" ht="15.75" customHeight="1" spans="3:3" x14ac:dyDescent="0.25">
      <c r="C306" s="1"/>
    </row>
    <row r="307" ht="15.75" customHeight="1" spans="3:3" x14ac:dyDescent="0.25">
      <c r="C307" s="1"/>
    </row>
    <row r="308" ht="15.75" customHeight="1" spans="3:3" x14ac:dyDescent="0.25">
      <c r="C308" s="1"/>
    </row>
    <row r="309" ht="15.75" customHeight="1" spans="3:3" x14ac:dyDescent="0.25">
      <c r="C309" s="1"/>
    </row>
    <row r="310" ht="15.75" customHeight="1" spans="3:3" x14ac:dyDescent="0.25">
      <c r="C310" s="1"/>
    </row>
    <row r="311" ht="15.75" customHeight="1" spans="3:3" x14ac:dyDescent="0.25">
      <c r="C311" s="1"/>
    </row>
    <row r="312" ht="15.75" customHeight="1" spans="3:3" x14ac:dyDescent="0.25">
      <c r="C312" s="1"/>
    </row>
    <row r="313" ht="15.75" customHeight="1" spans="3:3" x14ac:dyDescent="0.25">
      <c r="C313" s="1"/>
    </row>
    <row r="314" ht="15.75" customHeight="1" spans="3:3" x14ac:dyDescent="0.25">
      <c r="C314" s="1"/>
    </row>
    <row r="315" ht="15.75" customHeight="1" spans="3:3" x14ac:dyDescent="0.25">
      <c r="C315" s="1"/>
    </row>
    <row r="316" ht="15.75" customHeight="1" spans="3:3" x14ac:dyDescent="0.25">
      <c r="C316" s="1"/>
    </row>
    <row r="317" ht="15.75" customHeight="1" spans="3:3" x14ac:dyDescent="0.25">
      <c r="C317" s="1"/>
    </row>
    <row r="318" ht="15.75" customHeight="1" spans="3:3" x14ac:dyDescent="0.25">
      <c r="C318" s="1"/>
    </row>
    <row r="319" ht="15.75" customHeight="1" spans="3:3" x14ac:dyDescent="0.25">
      <c r="C319" s="1"/>
    </row>
    <row r="320" ht="15.75" customHeight="1" spans="3:3" x14ac:dyDescent="0.25">
      <c r="C320" s="1"/>
    </row>
    <row r="321" ht="15.75" customHeight="1" spans="3:3" x14ac:dyDescent="0.25">
      <c r="C321" s="1"/>
    </row>
    <row r="322" ht="15.75" customHeight="1" spans="3:3" x14ac:dyDescent="0.25">
      <c r="C322" s="1"/>
    </row>
    <row r="323" ht="15.75" customHeight="1" spans="3:3" x14ac:dyDescent="0.25">
      <c r="C323" s="1"/>
    </row>
    <row r="324" ht="15.75" customHeight="1" spans="3:3" x14ac:dyDescent="0.25">
      <c r="C324" s="1"/>
    </row>
    <row r="325" ht="15.75" customHeight="1" spans="3:3" x14ac:dyDescent="0.25">
      <c r="C325" s="1"/>
    </row>
    <row r="326" ht="15.75" customHeight="1" spans="3:3" x14ac:dyDescent="0.25">
      <c r="C326" s="1"/>
    </row>
    <row r="327" ht="15.75" customHeight="1" spans="3:3" x14ac:dyDescent="0.25">
      <c r="C327" s="1"/>
    </row>
    <row r="328" ht="15.75" customHeight="1" spans="3:3" x14ac:dyDescent="0.25">
      <c r="C328" s="1"/>
    </row>
    <row r="329" ht="15.75" customHeight="1" spans="3:3" x14ac:dyDescent="0.25">
      <c r="C329" s="1"/>
    </row>
    <row r="330" ht="15.75" customHeight="1" spans="3:3" x14ac:dyDescent="0.25">
      <c r="C330" s="1"/>
    </row>
    <row r="331" ht="15.75" customHeight="1" spans="3:3" x14ac:dyDescent="0.25">
      <c r="C331" s="1"/>
    </row>
    <row r="332" ht="15.75" customHeight="1" spans="3:3" x14ac:dyDescent="0.25">
      <c r="C332" s="1"/>
    </row>
    <row r="333" ht="15.75" customHeight="1" spans="3:3" x14ac:dyDescent="0.25">
      <c r="C333" s="1"/>
    </row>
    <row r="334" ht="15.75" customHeight="1" spans="3:3" x14ac:dyDescent="0.25">
      <c r="C334" s="1"/>
    </row>
    <row r="335" ht="15.75" customHeight="1" spans="3:3" x14ac:dyDescent="0.25">
      <c r="C335" s="1"/>
    </row>
    <row r="336" ht="15.75" customHeight="1" spans="3:3" x14ac:dyDescent="0.25">
      <c r="C336" s="1"/>
    </row>
    <row r="337" ht="15.75" customHeight="1" spans="3:3" x14ac:dyDescent="0.25">
      <c r="C337" s="1"/>
    </row>
    <row r="338" ht="15.75" customHeight="1" spans="3:3" x14ac:dyDescent="0.25">
      <c r="C338" s="1"/>
    </row>
    <row r="339" ht="15.75" customHeight="1" spans="3:3" x14ac:dyDescent="0.25">
      <c r="C339" s="1"/>
    </row>
    <row r="340" ht="15.75" customHeight="1" spans="3:3" x14ac:dyDescent="0.25">
      <c r="C340" s="1"/>
    </row>
    <row r="341" ht="15.75" customHeight="1" spans="3:3" x14ac:dyDescent="0.25">
      <c r="C341" s="1"/>
    </row>
    <row r="342" ht="15.75" customHeight="1" spans="3:3" x14ac:dyDescent="0.25">
      <c r="C342" s="1"/>
    </row>
    <row r="343" ht="15.75" customHeight="1" spans="3:3" x14ac:dyDescent="0.25">
      <c r="C343" s="1"/>
    </row>
    <row r="344" ht="15.75" customHeight="1" spans="3:3" x14ac:dyDescent="0.25">
      <c r="C344" s="1"/>
    </row>
    <row r="345" ht="15.75" customHeight="1" spans="3:3" x14ac:dyDescent="0.25">
      <c r="C345" s="1"/>
    </row>
    <row r="346" ht="15.75" customHeight="1" spans="3:3" x14ac:dyDescent="0.25">
      <c r="C346" s="1"/>
    </row>
    <row r="347" ht="15.75" customHeight="1" spans="3:3" x14ac:dyDescent="0.25">
      <c r="C347" s="1"/>
    </row>
    <row r="348" ht="15.75" customHeight="1" spans="3:3" x14ac:dyDescent="0.25">
      <c r="C348" s="1"/>
    </row>
    <row r="349" ht="15.75" customHeight="1" spans="3:3" x14ac:dyDescent="0.25">
      <c r="C349" s="1"/>
    </row>
    <row r="350" ht="15.75" customHeight="1" spans="3:3" x14ac:dyDescent="0.25">
      <c r="C350" s="1"/>
    </row>
    <row r="351" ht="15.75" customHeight="1" spans="3:3" x14ac:dyDescent="0.25">
      <c r="C351" s="1"/>
    </row>
    <row r="352" ht="15.75" customHeight="1" spans="3:3" x14ac:dyDescent="0.25">
      <c r="C352" s="1"/>
    </row>
    <row r="353" ht="15.75" customHeight="1" spans="3:3" x14ac:dyDescent="0.25">
      <c r="C353" s="1"/>
    </row>
    <row r="354" ht="15.75" customHeight="1" spans="3:3" x14ac:dyDescent="0.25">
      <c r="C354" s="1"/>
    </row>
    <row r="355" ht="15.75" customHeight="1" spans="3:3" x14ac:dyDescent="0.25">
      <c r="C355" s="1"/>
    </row>
    <row r="356" ht="15.75" customHeight="1" spans="3:3" x14ac:dyDescent="0.25">
      <c r="C356" s="1"/>
    </row>
    <row r="357" ht="15.75" customHeight="1" spans="3:3" x14ac:dyDescent="0.25">
      <c r="C357" s="1"/>
    </row>
    <row r="358" ht="15.75" customHeight="1" spans="3:3" x14ac:dyDescent="0.25">
      <c r="C358" s="1"/>
    </row>
    <row r="359" ht="15.75" customHeight="1" spans="3:3" x14ac:dyDescent="0.25">
      <c r="C359" s="1"/>
    </row>
    <row r="360" ht="15.75" customHeight="1" spans="3:3" x14ac:dyDescent="0.25">
      <c r="C360" s="1"/>
    </row>
    <row r="361" ht="15.75" customHeight="1" spans="3:3" x14ac:dyDescent="0.25">
      <c r="C361" s="1"/>
    </row>
    <row r="362" ht="15.75" customHeight="1" spans="3:3" x14ac:dyDescent="0.25">
      <c r="C362" s="1"/>
    </row>
    <row r="363" ht="15.75" customHeight="1" spans="3:3" x14ac:dyDescent="0.25">
      <c r="C363" s="1"/>
    </row>
    <row r="364" ht="15.75" customHeight="1" spans="3:3" x14ac:dyDescent="0.25">
      <c r="C364" s="1"/>
    </row>
    <row r="365" ht="15.75" customHeight="1" spans="3:3" x14ac:dyDescent="0.25">
      <c r="C365" s="1"/>
    </row>
    <row r="366" ht="15.75" customHeight="1" spans="3:3" x14ac:dyDescent="0.25">
      <c r="C366" s="1"/>
    </row>
    <row r="367" ht="15.75" customHeight="1" spans="3:3" x14ac:dyDescent="0.25">
      <c r="C367" s="1"/>
    </row>
    <row r="368" ht="15.75" customHeight="1" spans="3:3" x14ac:dyDescent="0.25">
      <c r="C368" s="1"/>
    </row>
    <row r="369" ht="15.75" customHeight="1" spans="3:3" x14ac:dyDescent="0.25">
      <c r="C369" s="1"/>
    </row>
    <row r="370" ht="15.75" customHeight="1" spans="3:3" x14ac:dyDescent="0.25">
      <c r="C370" s="1"/>
    </row>
    <row r="371" ht="15.75" customHeight="1" spans="3:3" x14ac:dyDescent="0.25">
      <c r="C371" s="1"/>
    </row>
    <row r="372" ht="15.75" customHeight="1" spans="3:3" x14ac:dyDescent="0.25">
      <c r="C372" s="1"/>
    </row>
    <row r="373" ht="15.75" customHeight="1" spans="3:3" x14ac:dyDescent="0.25">
      <c r="C373" s="1"/>
    </row>
    <row r="374" ht="15.75" customHeight="1" spans="3:3" x14ac:dyDescent="0.25">
      <c r="C374" s="1"/>
    </row>
    <row r="375" ht="15.75" customHeight="1" spans="3:3" x14ac:dyDescent="0.25">
      <c r="C375" s="1"/>
    </row>
    <row r="376" ht="15.75" customHeight="1" spans="3:3" x14ac:dyDescent="0.25">
      <c r="C376" s="1"/>
    </row>
    <row r="377" ht="15.75" customHeight="1" spans="3:3" x14ac:dyDescent="0.25">
      <c r="C377" s="1"/>
    </row>
    <row r="378" ht="15.75" customHeight="1" spans="3:3" x14ac:dyDescent="0.25">
      <c r="C378" s="1"/>
    </row>
    <row r="379" ht="15.75" customHeight="1" spans="3:3" x14ac:dyDescent="0.25">
      <c r="C379" s="1"/>
    </row>
    <row r="380" ht="15.75" customHeight="1" spans="3:3" x14ac:dyDescent="0.25">
      <c r="C380" s="1"/>
    </row>
    <row r="381" ht="15.75" customHeight="1" spans="3:3" x14ac:dyDescent="0.25">
      <c r="C381" s="1"/>
    </row>
    <row r="382" ht="15.75" customHeight="1" spans="3:3" x14ac:dyDescent="0.25">
      <c r="C382" s="1"/>
    </row>
    <row r="383" ht="15.75" customHeight="1" spans="3:3" x14ac:dyDescent="0.25">
      <c r="C383" s="1"/>
    </row>
    <row r="384" ht="15.75" customHeight="1" spans="3:3" x14ac:dyDescent="0.25">
      <c r="C384" s="1"/>
    </row>
    <row r="385" ht="15.75" customHeight="1" spans="3:3" x14ac:dyDescent="0.25">
      <c r="C385" s="1"/>
    </row>
    <row r="386" ht="15.75" customHeight="1" spans="3:3" x14ac:dyDescent="0.25">
      <c r="C386" s="1"/>
    </row>
    <row r="387" ht="15.75" customHeight="1" spans="3:3" x14ac:dyDescent="0.25">
      <c r="C387" s="1"/>
    </row>
    <row r="388" ht="15.75" customHeight="1" spans="3:3" x14ac:dyDescent="0.25">
      <c r="C388" s="1"/>
    </row>
    <row r="389" ht="15.75" customHeight="1" spans="3:3" x14ac:dyDescent="0.25">
      <c r="C389" s="1"/>
    </row>
    <row r="390" ht="15.75" customHeight="1" spans="3:3" x14ac:dyDescent="0.25">
      <c r="C390" s="1"/>
    </row>
    <row r="391" ht="15.75" customHeight="1" spans="3:3" x14ac:dyDescent="0.25">
      <c r="C391" s="1"/>
    </row>
    <row r="392" ht="15.75" customHeight="1" spans="3:3" x14ac:dyDescent="0.25">
      <c r="C392" s="1"/>
    </row>
    <row r="393" ht="15.75" customHeight="1" spans="3:3" x14ac:dyDescent="0.25">
      <c r="C393" s="1"/>
    </row>
    <row r="394" ht="15.75" customHeight="1" spans="3:3" x14ac:dyDescent="0.25">
      <c r="C394" s="1"/>
    </row>
    <row r="395" ht="15.75" customHeight="1" spans="3:3" x14ac:dyDescent="0.25">
      <c r="C395" s="1"/>
    </row>
    <row r="396" ht="15.75" customHeight="1" spans="3:3" x14ac:dyDescent="0.25">
      <c r="C396" s="1"/>
    </row>
    <row r="397" ht="15.75" customHeight="1" spans="3:3" x14ac:dyDescent="0.25">
      <c r="C397" s="1"/>
    </row>
    <row r="398" ht="15.75" customHeight="1" spans="3:3" x14ac:dyDescent="0.25">
      <c r="C398" s="1"/>
    </row>
    <row r="399" ht="15.75" customHeight="1" spans="3:3" x14ac:dyDescent="0.25">
      <c r="C399" s="1"/>
    </row>
    <row r="400" ht="15.75" customHeight="1" spans="3:3" x14ac:dyDescent="0.25">
      <c r="C400" s="1"/>
    </row>
    <row r="401" ht="15.75" customHeight="1" spans="3:3" x14ac:dyDescent="0.25">
      <c r="C401" s="1"/>
    </row>
    <row r="402" ht="15.75" customHeight="1" spans="3:3" x14ac:dyDescent="0.25">
      <c r="C402" s="1"/>
    </row>
    <row r="403" ht="15.75" customHeight="1" spans="3:3" x14ac:dyDescent="0.25">
      <c r="C403" s="1"/>
    </row>
    <row r="404" ht="15.75" customHeight="1" spans="3:3" x14ac:dyDescent="0.25">
      <c r="C404" s="1"/>
    </row>
    <row r="405" ht="15.75" customHeight="1" spans="3:3" x14ac:dyDescent="0.25">
      <c r="C405" s="1"/>
    </row>
    <row r="406" ht="15.75" customHeight="1" spans="3:3" x14ac:dyDescent="0.25">
      <c r="C406" s="1"/>
    </row>
    <row r="407" ht="15.75" customHeight="1" spans="3:3" x14ac:dyDescent="0.25">
      <c r="C407" s="1"/>
    </row>
    <row r="408" ht="15.75" customHeight="1" spans="3:3" x14ac:dyDescent="0.25">
      <c r="C408" s="1"/>
    </row>
    <row r="409" ht="15.75" customHeight="1" spans="3:3" x14ac:dyDescent="0.25">
      <c r="C409" s="1"/>
    </row>
    <row r="410" ht="15.75" customHeight="1" spans="3:3" x14ac:dyDescent="0.25">
      <c r="C410" s="1"/>
    </row>
    <row r="411" ht="15.75" customHeight="1" spans="3:3" x14ac:dyDescent="0.25">
      <c r="C411" s="1"/>
    </row>
    <row r="412" ht="15.75" customHeight="1" spans="3:3" x14ac:dyDescent="0.25">
      <c r="C412" s="1"/>
    </row>
    <row r="413" ht="15.75" customHeight="1" spans="3:3" x14ac:dyDescent="0.25">
      <c r="C413" s="1"/>
    </row>
    <row r="414" ht="15.75" customHeight="1" spans="3:3" x14ac:dyDescent="0.25">
      <c r="C414" s="1"/>
    </row>
    <row r="415" ht="15.75" customHeight="1" spans="3:3" x14ac:dyDescent="0.25">
      <c r="C415" s="1"/>
    </row>
    <row r="416" ht="15.75" customHeight="1" spans="3:3" x14ac:dyDescent="0.25">
      <c r="C416" s="1"/>
    </row>
    <row r="417" ht="15.75" customHeight="1" spans="3:3" x14ac:dyDescent="0.25">
      <c r="C417" s="1"/>
    </row>
    <row r="418" ht="15.75" customHeight="1" spans="3:3" x14ac:dyDescent="0.25">
      <c r="C418" s="1"/>
    </row>
    <row r="419" ht="15.75" customHeight="1" spans="3:3" x14ac:dyDescent="0.25">
      <c r="C419" s="1"/>
    </row>
    <row r="420" ht="15.75" customHeight="1" spans="3:3" x14ac:dyDescent="0.25">
      <c r="C420" s="1"/>
    </row>
    <row r="421" ht="15.75" customHeight="1" spans="3:3" x14ac:dyDescent="0.25">
      <c r="C421" s="1"/>
    </row>
    <row r="422" ht="15.75" customHeight="1" spans="3:3" x14ac:dyDescent="0.25">
      <c r="C422" s="1"/>
    </row>
    <row r="423" ht="15.75" customHeight="1" spans="3:3" x14ac:dyDescent="0.25">
      <c r="C423" s="1"/>
    </row>
    <row r="424" ht="15.75" customHeight="1" spans="3:3" x14ac:dyDescent="0.25">
      <c r="C424" s="1"/>
    </row>
    <row r="425" ht="15.75" customHeight="1" spans="3:3" x14ac:dyDescent="0.25">
      <c r="C425" s="1"/>
    </row>
    <row r="426" ht="15.75" customHeight="1" spans="3:3" x14ac:dyDescent="0.25">
      <c r="C426" s="1"/>
    </row>
    <row r="427" ht="15.75" customHeight="1" spans="3:3" x14ac:dyDescent="0.25">
      <c r="C427" s="1"/>
    </row>
    <row r="428" ht="15.75" customHeight="1" spans="3:3" x14ac:dyDescent="0.25">
      <c r="C428" s="1"/>
    </row>
    <row r="429" ht="15.75" customHeight="1" spans="3:3" x14ac:dyDescent="0.25">
      <c r="C429" s="1"/>
    </row>
    <row r="430" ht="15.75" customHeight="1" spans="3:3" x14ac:dyDescent="0.25">
      <c r="C430" s="1"/>
    </row>
    <row r="431" ht="15.75" customHeight="1" spans="3:3" x14ac:dyDescent="0.25">
      <c r="C431" s="1"/>
    </row>
    <row r="432" ht="15.75" customHeight="1" spans="3:3" x14ac:dyDescent="0.25">
      <c r="C432" s="1"/>
    </row>
    <row r="433" ht="15.75" customHeight="1" spans="3:3" x14ac:dyDescent="0.25">
      <c r="C433" s="1"/>
    </row>
    <row r="434" ht="15.75" customHeight="1" spans="3:3" x14ac:dyDescent="0.25">
      <c r="C434" s="1"/>
    </row>
    <row r="435" ht="15.75" customHeight="1" spans="3:3" x14ac:dyDescent="0.25">
      <c r="C435" s="1"/>
    </row>
    <row r="436" ht="15.75" customHeight="1" spans="3:3" x14ac:dyDescent="0.25">
      <c r="C436" s="1"/>
    </row>
    <row r="437" ht="15.75" customHeight="1" spans="3:3" x14ac:dyDescent="0.25">
      <c r="C437" s="1"/>
    </row>
    <row r="438" ht="15.75" customHeight="1" spans="3:3" x14ac:dyDescent="0.25">
      <c r="C438" s="1"/>
    </row>
    <row r="439" ht="15.75" customHeight="1" spans="3:3" x14ac:dyDescent="0.25">
      <c r="C439" s="1"/>
    </row>
    <row r="440" ht="15.75" customHeight="1" spans="3:3" x14ac:dyDescent="0.25">
      <c r="C440" s="1"/>
    </row>
    <row r="441" ht="15.75" customHeight="1" spans="3:3" x14ac:dyDescent="0.25">
      <c r="C441" s="1"/>
    </row>
    <row r="442" ht="15.75" customHeight="1" spans="3:3" x14ac:dyDescent="0.25">
      <c r="C442" s="1"/>
    </row>
    <row r="443" ht="15.75" customHeight="1" spans="3:3" x14ac:dyDescent="0.25">
      <c r="C443" s="1"/>
    </row>
    <row r="444" ht="15.75" customHeight="1" spans="3:3" x14ac:dyDescent="0.25">
      <c r="C444" s="1"/>
    </row>
    <row r="445" ht="15.75" customHeight="1" spans="3:3" x14ac:dyDescent="0.25">
      <c r="C445" s="1"/>
    </row>
    <row r="446" ht="15.75" customHeight="1" spans="3:3" x14ac:dyDescent="0.25">
      <c r="C446" s="1"/>
    </row>
    <row r="447" ht="15.75" customHeight="1" spans="3:3" x14ac:dyDescent="0.25">
      <c r="C447" s="1"/>
    </row>
    <row r="448" ht="15.75" customHeight="1" spans="3:3" x14ac:dyDescent="0.25">
      <c r="C448" s="1"/>
    </row>
    <row r="449" ht="15.75" customHeight="1" spans="3:3" x14ac:dyDescent="0.25">
      <c r="C449" s="1"/>
    </row>
    <row r="450" ht="15.75" customHeight="1" spans="3:3" x14ac:dyDescent="0.25">
      <c r="C450" s="1"/>
    </row>
    <row r="451" ht="15.75" customHeight="1" spans="3:3" x14ac:dyDescent="0.25">
      <c r="C451" s="1"/>
    </row>
    <row r="452" ht="15.75" customHeight="1" spans="3:3" x14ac:dyDescent="0.25">
      <c r="C452" s="1"/>
    </row>
    <row r="453" ht="15.75" customHeight="1" spans="3:3" x14ac:dyDescent="0.25">
      <c r="C453" s="1"/>
    </row>
    <row r="454" ht="15.75" customHeight="1" spans="3:3" x14ac:dyDescent="0.25">
      <c r="C454" s="1"/>
    </row>
    <row r="455" ht="15.75" customHeight="1" spans="3:3" x14ac:dyDescent="0.25">
      <c r="C455" s="1"/>
    </row>
    <row r="456" ht="15.75" customHeight="1" spans="3:3" x14ac:dyDescent="0.25">
      <c r="C456" s="1"/>
    </row>
    <row r="457" ht="15.75" customHeight="1" spans="3:3" x14ac:dyDescent="0.25">
      <c r="C457" s="1"/>
    </row>
    <row r="458" ht="15.75" customHeight="1" spans="3:3" x14ac:dyDescent="0.25">
      <c r="C458" s="1"/>
    </row>
    <row r="459" ht="15.75" customHeight="1" spans="3:3" x14ac:dyDescent="0.25">
      <c r="C459" s="1"/>
    </row>
    <row r="460" ht="15.75" customHeight="1" spans="3:3" x14ac:dyDescent="0.25">
      <c r="C460" s="1"/>
    </row>
    <row r="461" ht="15.75" customHeight="1" spans="3:3" x14ac:dyDescent="0.25">
      <c r="C461" s="1"/>
    </row>
    <row r="462" ht="15.75" customHeight="1" spans="3:3" x14ac:dyDescent="0.25">
      <c r="C462" s="1"/>
    </row>
    <row r="463" ht="15.75" customHeight="1" spans="3:3" x14ac:dyDescent="0.25">
      <c r="C463" s="1"/>
    </row>
    <row r="464" ht="15.75" customHeight="1" spans="3:3" x14ac:dyDescent="0.25">
      <c r="C464" s="1"/>
    </row>
    <row r="465" ht="15.75" customHeight="1" spans="3:3" x14ac:dyDescent="0.25">
      <c r="C465" s="1"/>
    </row>
    <row r="466" ht="15.75" customHeight="1" spans="3:3" x14ac:dyDescent="0.25">
      <c r="C466" s="1"/>
    </row>
    <row r="467" ht="15.75" customHeight="1" spans="3:3" x14ac:dyDescent="0.25">
      <c r="C467" s="1"/>
    </row>
    <row r="468" ht="15.75" customHeight="1" spans="3:3" x14ac:dyDescent="0.25">
      <c r="C468" s="1"/>
    </row>
    <row r="469" ht="15.75" customHeight="1" spans="3:3" x14ac:dyDescent="0.25">
      <c r="C469" s="1"/>
    </row>
    <row r="470" ht="15.75" customHeight="1" spans="3:3" x14ac:dyDescent="0.25">
      <c r="C470" s="1"/>
    </row>
    <row r="471" ht="15.75" customHeight="1" spans="3:3" x14ac:dyDescent="0.25">
      <c r="C471" s="1"/>
    </row>
    <row r="472" ht="15.75" customHeight="1" spans="3:3" x14ac:dyDescent="0.25">
      <c r="C472" s="1"/>
    </row>
    <row r="473" ht="15.75" customHeight="1" spans="3:3" x14ac:dyDescent="0.25">
      <c r="C473" s="1"/>
    </row>
    <row r="474" ht="15.75" customHeight="1" spans="3:3" x14ac:dyDescent="0.25">
      <c r="C474" s="1"/>
    </row>
    <row r="475" ht="15.75" customHeight="1" spans="3:3" x14ac:dyDescent="0.25">
      <c r="C475" s="1"/>
    </row>
    <row r="476" ht="15.75" customHeight="1" spans="3:3" x14ac:dyDescent="0.25">
      <c r="C476" s="1"/>
    </row>
    <row r="477" ht="15.75" customHeight="1" spans="3:3" x14ac:dyDescent="0.25">
      <c r="C477" s="1"/>
    </row>
    <row r="478" ht="15.75" customHeight="1" spans="3:3" x14ac:dyDescent="0.25">
      <c r="C478" s="1"/>
    </row>
    <row r="479" ht="15.75" customHeight="1" spans="3:3" x14ac:dyDescent="0.25">
      <c r="C479" s="1"/>
    </row>
    <row r="480" ht="15.75" customHeight="1" spans="3:3" x14ac:dyDescent="0.25">
      <c r="C480" s="1"/>
    </row>
    <row r="481" ht="15.75" customHeight="1" spans="3:3" x14ac:dyDescent="0.25">
      <c r="C481" s="1"/>
    </row>
    <row r="482" ht="15.75" customHeight="1" spans="3:3" x14ac:dyDescent="0.25">
      <c r="C482" s="1"/>
    </row>
    <row r="483" ht="15.75" customHeight="1" spans="3:3" x14ac:dyDescent="0.25">
      <c r="C483" s="1"/>
    </row>
    <row r="484" ht="15.75" customHeight="1" spans="3:3" x14ac:dyDescent="0.25">
      <c r="C484" s="1"/>
    </row>
    <row r="485" ht="15.75" customHeight="1" spans="3:3" x14ac:dyDescent="0.25">
      <c r="C485" s="1"/>
    </row>
    <row r="486" ht="15.75" customHeight="1" spans="3:3" x14ac:dyDescent="0.25">
      <c r="C486" s="1"/>
    </row>
    <row r="487" ht="15.75" customHeight="1" spans="3:3" x14ac:dyDescent="0.25">
      <c r="C487" s="1"/>
    </row>
    <row r="488" ht="15.75" customHeight="1" spans="3:3" x14ac:dyDescent="0.25">
      <c r="C488" s="1"/>
    </row>
    <row r="489" ht="15.75" customHeight="1" spans="3:3" x14ac:dyDescent="0.25">
      <c r="C489" s="1"/>
    </row>
    <row r="490" ht="15.75" customHeight="1" spans="3:3" x14ac:dyDescent="0.25">
      <c r="C490" s="1"/>
    </row>
    <row r="491" ht="15.75" customHeight="1" spans="3:3" x14ac:dyDescent="0.25">
      <c r="C491" s="1"/>
    </row>
    <row r="492" ht="15.75" customHeight="1" spans="3:3" x14ac:dyDescent="0.25">
      <c r="C492" s="1"/>
    </row>
    <row r="493" ht="15.75" customHeight="1" spans="3:3" x14ac:dyDescent="0.25">
      <c r="C493" s="1"/>
    </row>
    <row r="494" ht="15.75" customHeight="1" spans="3:3" x14ac:dyDescent="0.25">
      <c r="C494" s="1"/>
    </row>
    <row r="495" ht="15.75" customHeight="1" spans="3:3" x14ac:dyDescent="0.25">
      <c r="C495" s="1"/>
    </row>
    <row r="496" ht="15.75" customHeight="1" spans="3:3" x14ac:dyDescent="0.25">
      <c r="C496" s="1"/>
    </row>
    <row r="497" ht="15.75" customHeight="1" spans="3:3" x14ac:dyDescent="0.25">
      <c r="C497" s="1"/>
    </row>
    <row r="498" ht="15.75" customHeight="1" spans="3:3" x14ac:dyDescent="0.25">
      <c r="C498" s="1"/>
    </row>
    <row r="499" ht="15.75" customHeight="1" spans="3:3" x14ac:dyDescent="0.25">
      <c r="C499" s="1"/>
    </row>
    <row r="500" ht="15.75" customHeight="1" spans="3:3" x14ac:dyDescent="0.25">
      <c r="C500" s="1"/>
    </row>
    <row r="501" ht="15.75" customHeight="1" spans="3:3" x14ac:dyDescent="0.25">
      <c r="C501" s="1"/>
    </row>
    <row r="502" ht="15.75" customHeight="1" spans="3:3" x14ac:dyDescent="0.25">
      <c r="C502" s="1"/>
    </row>
    <row r="503" ht="15.75" customHeight="1" spans="3:3" x14ac:dyDescent="0.25">
      <c r="C503" s="1"/>
    </row>
    <row r="504" ht="15.75" customHeight="1" spans="3:3" x14ac:dyDescent="0.25">
      <c r="C504" s="1"/>
    </row>
    <row r="505" ht="15.75" customHeight="1" spans="3:3" x14ac:dyDescent="0.25">
      <c r="C505" s="1"/>
    </row>
    <row r="506" ht="15.75" customHeight="1" spans="3:3" x14ac:dyDescent="0.25">
      <c r="C506" s="1"/>
    </row>
    <row r="507" ht="15.75" customHeight="1" spans="3:3" x14ac:dyDescent="0.25">
      <c r="C507" s="1"/>
    </row>
    <row r="508" ht="15.75" customHeight="1" spans="3:3" x14ac:dyDescent="0.25">
      <c r="C508" s="1"/>
    </row>
    <row r="509" ht="15.75" customHeight="1" spans="3:3" x14ac:dyDescent="0.25">
      <c r="C509" s="1"/>
    </row>
    <row r="510" ht="15.75" customHeight="1" spans="3:3" x14ac:dyDescent="0.25">
      <c r="C510" s="1"/>
    </row>
    <row r="511" ht="15.75" customHeight="1" spans="3:3" x14ac:dyDescent="0.25">
      <c r="C511" s="1"/>
    </row>
    <row r="512" ht="15.75" customHeight="1" spans="3:3" x14ac:dyDescent="0.25">
      <c r="C512" s="1"/>
    </row>
    <row r="513" ht="15.75" customHeight="1" spans="3:3" x14ac:dyDescent="0.25">
      <c r="C513" s="1"/>
    </row>
    <row r="514" ht="15.75" customHeight="1" spans="3:3" x14ac:dyDescent="0.25">
      <c r="C514" s="1"/>
    </row>
    <row r="515" ht="15.75" customHeight="1" spans="3:3" x14ac:dyDescent="0.25">
      <c r="C515" s="1"/>
    </row>
    <row r="516" ht="15.75" customHeight="1" spans="3:3" x14ac:dyDescent="0.25">
      <c r="C516" s="1"/>
    </row>
    <row r="517" ht="15.75" customHeight="1" spans="3:3" x14ac:dyDescent="0.25">
      <c r="C517" s="1"/>
    </row>
    <row r="518" ht="15.75" customHeight="1" spans="3:3" x14ac:dyDescent="0.25">
      <c r="C518" s="1"/>
    </row>
    <row r="519" ht="15.75" customHeight="1" spans="3:3" x14ac:dyDescent="0.25">
      <c r="C519" s="1"/>
    </row>
    <row r="520" ht="15.75" customHeight="1" spans="3:3" x14ac:dyDescent="0.25">
      <c r="C520" s="1"/>
    </row>
    <row r="521" ht="15.75" customHeight="1" spans="3:3" x14ac:dyDescent="0.25">
      <c r="C521" s="1"/>
    </row>
    <row r="522" ht="15.75" customHeight="1" spans="3:3" x14ac:dyDescent="0.25">
      <c r="C522" s="1"/>
    </row>
    <row r="523" ht="15.75" customHeight="1" spans="3:3" x14ac:dyDescent="0.25">
      <c r="C523" s="1"/>
    </row>
    <row r="524" ht="15.75" customHeight="1" spans="3:3" x14ac:dyDescent="0.25">
      <c r="C524" s="1"/>
    </row>
    <row r="525" ht="15.75" customHeight="1" spans="3:3" x14ac:dyDescent="0.25">
      <c r="C525" s="1"/>
    </row>
    <row r="526" ht="15.75" customHeight="1" spans="3:3" x14ac:dyDescent="0.25">
      <c r="C526" s="1"/>
    </row>
    <row r="527" ht="15.75" customHeight="1" spans="3:3" x14ac:dyDescent="0.25">
      <c r="C527" s="1"/>
    </row>
    <row r="528" ht="15.75" customHeight="1" spans="3:3" x14ac:dyDescent="0.25">
      <c r="C528" s="1"/>
    </row>
    <row r="529" ht="15.75" customHeight="1" spans="3:3" x14ac:dyDescent="0.25">
      <c r="C529" s="1"/>
    </row>
    <row r="530" ht="15.75" customHeight="1" spans="3:3" x14ac:dyDescent="0.25">
      <c r="C530" s="1"/>
    </row>
    <row r="531" ht="15.75" customHeight="1" spans="3:3" x14ac:dyDescent="0.25">
      <c r="C531" s="1"/>
    </row>
    <row r="532" ht="15.75" customHeight="1" spans="3:3" x14ac:dyDescent="0.25">
      <c r="C532" s="1"/>
    </row>
    <row r="533" ht="15.75" customHeight="1" spans="3:3" x14ac:dyDescent="0.25">
      <c r="C533" s="1"/>
    </row>
    <row r="534" ht="15.75" customHeight="1" spans="3:3" x14ac:dyDescent="0.25">
      <c r="C534" s="1"/>
    </row>
    <row r="535" ht="15.75" customHeight="1" spans="3:3" x14ac:dyDescent="0.25">
      <c r="C535" s="1"/>
    </row>
    <row r="536" ht="15.75" customHeight="1" spans="3:3" x14ac:dyDescent="0.25">
      <c r="C536" s="1"/>
    </row>
    <row r="537" ht="15.75" customHeight="1" spans="3:3" x14ac:dyDescent="0.25">
      <c r="C537" s="1"/>
    </row>
    <row r="538" ht="15.75" customHeight="1" spans="3:3" x14ac:dyDescent="0.25">
      <c r="C538" s="1"/>
    </row>
    <row r="539" ht="15.75" customHeight="1" spans="3:3" x14ac:dyDescent="0.25">
      <c r="C539" s="1"/>
    </row>
    <row r="540" ht="15.75" customHeight="1" spans="3:3" x14ac:dyDescent="0.25">
      <c r="C540" s="1"/>
    </row>
    <row r="541" ht="15.75" customHeight="1" spans="3:3" x14ac:dyDescent="0.25">
      <c r="C541" s="1"/>
    </row>
    <row r="542" ht="15.75" customHeight="1" spans="3:3" x14ac:dyDescent="0.25">
      <c r="C542" s="1"/>
    </row>
    <row r="543" ht="15.75" customHeight="1" spans="3:3" x14ac:dyDescent="0.25">
      <c r="C543" s="1"/>
    </row>
    <row r="544" ht="15.75" customHeight="1" spans="3:3" x14ac:dyDescent="0.25">
      <c r="C544" s="1"/>
    </row>
    <row r="545" ht="15.75" customHeight="1" spans="3:3" x14ac:dyDescent="0.25">
      <c r="C545" s="1"/>
    </row>
    <row r="546" ht="15.75" customHeight="1" spans="3:3" x14ac:dyDescent="0.25">
      <c r="C546" s="1"/>
    </row>
    <row r="547" ht="15.75" customHeight="1" spans="3:3" x14ac:dyDescent="0.25">
      <c r="C547" s="1"/>
    </row>
    <row r="548" ht="15.75" customHeight="1" spans="3:3" x14ac:dyDescent="0.25">
      <c r="C548" s="1"/>
    </row>
    <row r="549" ht="15.75" customHeight="1" spans="3:3" x14ac:dyDescent="0.25">
      <c r="C549" s="1"/>
    </row>
    <row r="550" ht="15.75" customHeight="1" spans="3:3" x14ac:dyDescent="0.25">
      <c r="C550" s="1"/>
    </row>
    <row r="551" ht="15.75" customHeight="1" spans="3:3" x14ac:dyDescent="0.25">
      <c r="C551" s="1"/>
    </row>
    <row r="552" ht="15.75" customHeight="1" spans="3:3" x14ac:dyDescent="0.25">
      <c r="C552" s="1"/>
    </row>
    <row r="553" ht="15.75" customHeight="1" spans="3:3" x14ac:dyDescent="0.25">
      <c r="C553" s="1"/>
    </row>
    <row r="554" ht="15.75" customHeight="1" spans="3:3" x14ac:dyDescent="0.25">
      <c r="C554" s="1"/>
    </row>
    <row r="555" ht="15.75" customHeight="1" spans="3:3" x14ac:dyDescent="0.25">
      <c r="C555" s="1"/>
    </row>
    <row r="556" ht="15.75" customHeight="1" spans="3:3" x14ac:dyDescent="0.25">
      <c r="C556" s="1"/>
    </row>
    <row r="557" ht="15.75" customHeight="1" spans="3:3" x14ac:dyDescent="0.25">
      <c r="C557" s="1"/>
    </row>
    <row r="558" ht="15.75" customHeight="1" spans="3:3" x14ac:dyDescent="0.25">
      <c r="C558" s="1"/>
    </row>
    <row r="559" ht="15.75" customHeight="1" spans="3:3" x14ac:dyDescent="0.25">
      <c r="C559" s="1"/>
    </row>
    <row r="560" ht="15.75" customHeight="1" spans="3:3" x14ac:dyDescent="0.25">
      <c r="C560" s="1"/>
    </row>
    <row r="561" ht="15.75" customHeight="1" spans="3:3" x14ac:dyDescent="0.25">
      <c r="C561" s="1"/>
    </row>
    <row r="562" ht="15.75" customHeight="1" spans="3:3" x14ac:dyDescent="0.25">
      <c r="C562" s="1"/>
    </row>
    <row r="563" ht="15.75" customHeight="1" spans="3:3" x14ac:dyDescent="0.25">
      <c r="C563" s="1"/>
    </row>
    <row r="564" ht="15.75" customHeight="1" spans="3:3" x14ac:dyDescent="0.25">
      <c r="C564" s="1"/>
    </row>
    <row r="565" ht="15.75" customHeight="1" spans="3:3" x14ac:dyDescent="0.25">
      <c r="C565" s="1"/>
    </row>
    <row r="566" ht="15.75" customHeight="1" spans="3:3" x14ac:dyDescent="0.25">
      <c r="C566" s="1"/>
    </row>
    <row r="567" ht="15.75" customHeight="1" spans="3:3" x14ac:dyDescent="0.25">
      <c r="C567" s="1"/>
    </row>
    <row r="568" ht="15.75" customHeight="1" spans="3:3" x14ac:dyDescent="0.25">
      <c r="C568" s="1"/>
    </row>
    <row r="569" ht="15.75" customHeight="1" spans="3:3" x14ac:dyDescent="0.25">
      <c r="C569" s="1"/>
    </row>
    <row r="570" ht="15.75" customHeight="1" spans="3:3" x14ac:dyDescent="0.25">
      <c r="C570" s="1"/>
    </row>
    <row r="571" ht="15.75" customHeight="1" spans="3:3" x14ac:dyDescent="0.25">
      <c r="C571" s="1"/>
    </row>
    <row r="572" ht="15.75" customHeight="1" spans="3:3" x14ac:dyDescent="0.25">
      <c r="C572" s="1"/>
    </row>
    <row r="573" ht="15.75" customHeight="1" spans="3:3" x14ac:dyDescent="0.25">
      <c r="C573" s="1"/>
    </row>
    <row r="574" ht="15.75" customHeight="1" spans="3:3" x14ac:dyDescent="0.25">
      <c r="C574" s="1"/>
    </row>
    <row r="575" ht="15.75" customHeight="1" spans="3:3" x14ac:dyDescent="0.25">
      <c r="C575" s="1"/>
    </row>
    <row r="576" ht="15.75" customHeight="1" spans="3:3" x14ac:dyDescent="0.25">
      <c r="C576" s="1"/>
    </row>
    <row r="577" ht="15.75" customHeight="1" spans="3:3" x14ac:dyDescent="0.25">
      <c r="C577" s="1"/>
    </row>
    <row r="578" ht="15.75" customHeight="1" spans="3:3" x14ac:dyDescent="0.25">
      <c r="C578" s="1"/>
    </row>
    <row r="579" ht="15.75" customHeight="1" spans="3:3" x14ac:dyDescent="0.25">
      <c r="C579" s="1"/>
    </row>
    <row r="580" ht="15.75" customHeight="1" spans="3:3" x14ac:dyDescent="0.25">
      <c r="C580" s="1"/>
    </row>
    <row r="581" ht="15.75" customHeight="1" spans="3:3" x14ac:dyDescent="0.25">
      <c r="C581" s="1"/>
    </row>
    <row r="582" ht="15.75" customHeight="1" spans="3:3" x14ac:dyDescent="0.25">
      <c r="C582" s="1"/>
    </row>
    <row r="583" ht="15.75" customHeight="1" spans="3:3" x14ac:dyDescent="0.25">
      <c r="C583" s="1"/>
    </row>
    <row r="584" ht="15.75" customHeight="1" spans="3:3" x14ac:dyDescent="0.25">
      <c r="C584" s="1"/>
    </row>
    <row r="585" ht="15.75" customHeight="1" spans="3:3" x14ac:dyDescent="0.25">
      <c r="C585" s="1"/>
    </row>
    <row r="586" ht="15.75" customHeight="1" spans="3:3" x14ac:dyDescent="0.25">
      <c r="C586" s="1"/>
    </row>
    <row r="587" ht="15.75" customHeight="1" spans="3:3" x14ac:dyDescent="0.25">
      <c r="C587" s="1"/>
    </row>
    <row r="588" ht="15.75" customHeight="1" spans="3:3" x14ac:dyDescent="0.25">
      <c r="C588" s="1"/>
    </row>
    <row r="589" ht="15.75" customHeight="1" spans="3:3" x14ac:dyDescent="0.25">
      <c r="C589" s="1"/>
    </row>
    <row r="590" ht="15.75" customHeight="1" spans="3:3" x14ac:dyDescent="0.25">
      <c r="C590" s="1"/>
    </row>
    <row r="591" ht="15.75" customHeight="1" spans="3:3" x14ac:dyDescent="0.25">
      <c r="C591" s="1"/>
    </row>
    <row r="592" ht="15.75" customHeight="1" spans="3:3" x14ac:dyDescent="0.25">
      <c r="C592" s="1"/>
    </row>
    <row r="593" ht="15.75" customHeight="1" spans="3:3" x14ac:dyDescent="0.25">
      <c r="C593" s="1"/>
    </row>
    <row r="594" ht="15.75" customHeight="1" spans="3:3" x14ac:dyDescent="0.25">
      <c r="C594" s="1"/>
    </row>
    <row r="595" ht="15.75" customHeight="1" spans="3:3" x14ac:dyDescent="0.25">
      <c r="C595" s="1"/>
    </row>
    <row r="596" ht="15.75" customHeight="1" spans="3:3" x14ac:dyDescent="0.25">
      <c r="C596" s="1"/>
    </row>
    <row r="597" ht="15.75" customHeight="1" spans="3:3" x14ac:dyDescent="0.25">
      <c r="C597" s="1"/>
    </row>
    <row r="598" ht="15.75" customHeight="1" spans="3:3" x14ac:dyDescent="0.25">
      <c r="C598" s="1"/>
    </row>
    <row r="599" ht="15.75" customHeight="1" spans="3:3" x14ac:dyDescent="0.25">
      <c r="C599" s="1"/>
    </row>
    <row r="600" ht="15.75" customHeight="1" spans="3:3" x14ac:dyDescent="0.25">
      <c r="C600" s="1"/>
    </row>
    <row r="601" ht="15.75" customHeight="1" spans="3:3" x14ac:dyDescent="0.25">
      <c r="C601" s="1"/>
    </row>
    <row r="602" ht="15.75" customHeight="1" spans="3:3" x14ac:dyDescent="0.25">
      <c r="C602" s="1"/>
    </row>
    <row r="603" ht="15.75" customHeight="1" spans="3:3" x14ac:dyDescent="0.25">
      <c r="C603" s="1"/>
    </row>
    <row r="604" ht="15.75" customHeight="1" spans="3:3" x14ac:dyDescent="0.25">
      <c r="C604" s="1"/>
    </row>
    <row r="605" ht="15.75" customHeight="1" spans="3:3" x14ac:dyDescent="0.25">
      <c r="C605" s="1"/>
    </row>
    <row r="606" ht="15.75" customHeight="1" spans="3:3" x14ac:dyDescent="0.25">
      <c r="C606" s="1"/>
    </row>
    <row r="607" ht="15.75" customHeight="1" spans="3:3" x14ac:dyDescent="0.25">
      <c r="C607" s="1"/>
    </row>
    <row r="608" ht="15.75" customHeight="1" spans="3:3" x14ac:dyDescent="0.25">
      <c r="C608" s="1"/>
    </row>
    <row r="609" ht="15.75" customHeight="1" spans="3:3" x14ac:dyDescent="0.25">
      <c r="C609" s="1"/>
    </row>
    <row r="610" ht="15.75" customHeight="1" spans="3:3" x14ac:dyDescent="0.25">
      <c r="C610" s="1"/>
    </row>
    <row r="611" ht="15.75" customHeight="1" spans="3:3" x14ac:dyDescent="0.25">
      <c r="C611" s="1"/>
    </row>
    <row r="612" ht="15.75" customHeight="1" spans="3:3" x14ac:dyDescent="0.25">
      <c r="C612" s="1"/>
    </row>
    <row r="613" ht="15.75" customHeight="1" spans="3:3" x14ac:dyDescent="0.25">
      <c r="C613" s="1"/>
    </row>
    <row r="614" ht="15.75" customHeight="1" spans="3:3" x14ac:dyDescent="0.25">
      <c r="C614" s="1"/>
    </row>
    <row r="615" ht="15.75" customHeight="1" spans="3:3" x14ac:dyDescent="0.25">
      <c r="C615" s="1"/>
    </row>
    <row r="616" ht="15.75" customHeight="1" spans="3:3" x14ac:dyDescent="0.25">
      <c r="C616" s="1"/>
    </row>
    <row r="617" ht="15.75" customHeight="1" spans="3:3" x14ac:dyDescent="0.25">
      <c r="C617" s="1"/>
    </row>
    <row r="618" ht="15.75" customHeight="1" spans="3:3" x14ac:dyDescent="0.25">
      <c r="C618" s="1"/>
    </row>
    <row r="619" ht="15.75" customHeight="1" spans="3:3" x14ac:dyDescent="0.25">
      <c r="C619" s="1"/>
    </row>
    <row r="620" ht="15.75" customHeight="1" spans="3:3" x14ac:dyDescent="0.25">
      <c r="C620" s="1"/>
    </row>
    <row r="621" ht="15.75" customHeight="1" spans="3:3" x14ac:dyDescent="0.25">
      <c r="C621" s="1"/>
    </row>
    <row r="622" ht="15.75" customHeight="1" spans="3:3" x14ac:dyDescent="0.25">
      <c r="C622" s="1"/>
    </row>
    <row r="623" ht="15.75" customHeight="1" spans="3:3" x14ac:dyDescent="0.25">
      <c r="C623" s="1"/>
    </row>
    <row r="624" ht="15.75" customHeight="1" spans="3:3" x14ac:dyDescent="0.25">
      <c r="C624" s="1"/>
    </row>
    <row r="625" ht="15.75" customHeight="1" spans="3:3" x14ac:dyDescent="0.25">
      <c r="C625" s="1"/>
    </row>
    <row r="626" ht="15.75" customHeight="1" spans="3:3" x14ac:dyDescent="0.25">
      <c r="C626" s="1"/>
    </row>
    <row r="627" ht="15.75" customHeight="1" spans="3:3" x14ac:dyDescent="0.25">
      <c r="C627" s="1"/>
    </row>
    <row r="628" ht="15.75" customHeight="1" spans="3:3" x14ac:dyDescent="0.25">
      <c r="C628" s="1"/>
    </row>
    <row r="629" ht="15.75" customHeight="1" spans="3:3" x14ac:dyDescent="0.25">
      <c r="C629" s="1"/>
    </row>
    <row r="630" ht="15.75" customHeight="1" spans="3:3" x14ac:dyDescent="0.25">
      <c r="C630" s="1"/>
    </row>
    <row r="631" ht="15.75" customHeight="1" spans="3:3" x14ac:dyDescent="0.25">
      <c r="C631" s="1"/>
    </row>
    <row r="632" ht="15.75" customHeight="1" spans="3:3" x14ac:dyDescent="0.25">
      <c r="C632" s="1"/>
    </row>
    <row r="633" ht="15.75" customHeight="1" spans="3:3" x14ac:dyDescent="0.25">
      <c r="C633" s="1"/>
    </row>
    <row r="634" ht="15.75" customHeight="1" spans="3:3" x14ac:dyDescent="0.25">
      <c r="C634" s="1"/>
    </row>
    <row r="635" ht="15.75" customHeight="1" spans="3:3" x14ac:dyDescent="0.25">
      <c r="C635" s="1"/>
    </row>
    <row r="636" ht="15.75" customHeight="1" spans="3:3" x14ac:dyDescent="0.25">
      <c r="C636" s="1"/>
    </row>
    <row r="637" ht="15.75" customHeight="1" spans="3:3" x14ac:dyDescent="0.25">
      <c r="C637" s="1"/>
    </row>
    <row r="638" ht="15.75" customHeight="1" spans="3:3" x14ac:dyDescent="0.25">
      <c r="C638" s="1"/>
    </row>
    <row r="639" ht="15.75" customHeight="1" spans="3:3" x14ac:dyDescent="0.25">
      <c r="C639" s="1"/>
    </row>
    <row r="640" ht="15.75" customHeight="1" spans="3:3" x14ac:dyDescent="0.25">
      <c r="C640" s="1"/>
    </row>
    <row r="641" ht="15.75" customHeight="1" spans="3:3" x14ac:dyDescent="0.25">
      <c r="C641" s="1"/>
    </row>
    <row r="642" ht="15.75" customHeight="1" spans="3:3" x14ac:dyDescent="0.25">
      <c r="C642" s="1"/>
    </row>
    <row r="643" ht="15.75" customHeight="1" spans="3:3" x14ac:dyDescent="0.25">
      <c r="C643" s="1"/>
    </row>
    <row r="644" ht="15.75" customHeight="1" spans="3:3" x14ac:dyDescent="0.25">
      <c r="C644" s="1"/>
    </row>
    <row r="645" ht="15.75" customHeight="1" spans="3:3" x14ac:dyDescent="0.25">
      <c r="C645" s="1"/>
    </row>
    <row r="646" ht="15.75" customHeight="1" spans="3:3" x14ac:dyDescent="0.25">
      <c r="C646" s="1"/>
    </row>
    <row r="647" ht="15.75" customHeight="1" spans="3:3" x14ac:dyDescent="0.25">
      <c r="C647" s="1"/>
    </row>
    <row r="648" ht="15.75" customHeight="1" spans="3:3" x14ac:dyDescent="0.25">
      <c r="C648" s="1"/>
    </row>
    <row r="649" ht="15.75" customHeight="1" spans="3:3" x14ac:dyDescent="0.25">
      <c r="C649" s="1"/>
    </row>
    <row r="650" ht="15.75" customHeight="1" spans="3:3" x14ac:dyDescent="0.25">
      <c r="C650" s="1"/>
    </row>
    <row r="651" ht="15.75" customHeight="1" spans="3:3" x14ac:dyDescent="0.25">
      <c r="C651" s="1"/>
    </row>
    <row r="652" ht="15.75" customHeight="1" spans="3:3" x14ac:dyDescent="0.25">
      <c r="C652" s="1"/>
    </row>
    <row r="653" ht="15.75" customHeight="1" spans="3:3" x14ac:dyDescent="0.25">
      <c r="C653" s="1"/>
    </row>
    <row r="654" ht="15.75" customHeight="1" spans="3:3" x14ac:dyDescent="0.25">
      <c r="C654" s="1"/>
    </row>
    <row r="655" ht="15.75" customHeight="1" spans="3:3" x14ac:dyDescent="0.25">
      <c r="C655" s="1"/>
    </row>
    <row r="656" ht="15.75" customHeight="1" spans="3:3" x14ac:dyDescent="0.25">
      <c r="C656" s="1"/>
    </row>
    <row r="657" ht="15.75" customHeight="1" spans="3:3" x14ac:dyDescent="0.25">
      <c r="C657" s="1"/>
    </row>
    <row r="658" ht="15.75" customHeight="1" spans="3:3" x14ac:dyDescent="0.25">
      <c r="C658" s="1"/>
    </row>
    <row r="659" ht="15.75" customHeight="1" spans="3:3" x14ac:dyDescent="0.25">
      <c r="C659" s="1"/>
    </row>
    <row r="660" ht="15.75" customHeight="1" spans="3:3" x14ac:dyDescent="0.25">
      <c r="C660" s="1"/>
    </row>
    <row r="661" ht="15.75" customHeight="1" spans="3:3" x14ac:dyDescent="0.25">
      <c r="C661" s="1"/>
    </row>
    <row r="662" ht="15.75" customHeight="1" spans="3:3" x14ac:dyDescent="0.25">
      <c r="C662" s="1"/>
    </row>
    <row r="663" ht="15.75" customHeight="1" spans="3:3" x14ac:dyDescent="0.25">
      <c r="C663" s="1"/>
    </row>
    <row r="664" ht="15.75" customHeight="1" spans="3:3" x14ac:dyDescent="0.25">
      <c r="C664" s="1"/>
    </row>
    <row r="665" ht="15.75" customHeight="1" spans="3:3" x14ac:dyDescent="0.25">
      <c r="C665" s="1"/>
    </row>
    <row r="666" ht="15.75" customHeight="1" spans="3:3" x14ac:dyDescent="0.25">
      <c r="C666" s="1"/>
    </row>
    <row r="667" ht="15.75" customHeight="1" spans="3:3" x14ac:dyDescent="0.25">
      <c r="C667" s="1"/>
    </row>
    <row r="668" ht="15.75" customHeight="1" spans="3:3" x14ac:dyDescent="0.25">
      <c r="C668" s="1"/>
    </row>
    <row r="669" ht="15.75" customHeight="1" spans="3:3" x14ac:dyDescent="0.25">
      <c r="C669" s="1"/>
    </row>
    <row r="670" ht="15.75" customHeight="1" spans="3:3" x14ac:dyDescent="0.25">
      <c r="C670" s="1"/>
    </row>
    <row r="671" ht="15.75" customHeight="1" spans="3:3" x14ac:dyDescent="0.25">
      <c r="C671" s="1"/>
    </row>
    <row r="672" ht="15.75" customHeight="1" spans="3:3" x14ac:dyDescent="0.25">
      <c r="C672" s="1"/>
    </row>
    <row r="673" ht="15.75" customHeight="1" spans="3:3" x14ac:dyDescent="0.25">
      <c r="C673" s="1"/>
    </row>
    <row r="674" ht="15.75" customHeight="1" spans="3:3" x14ac:dyDescent="0.25">
      <c r="C674" s="1"/>
    </row>
    <row r="675" ht="15.75" customHeight="1" spans="3:3" x14ac:dyDescent="0.25">
      <c r="C675" s="1"/>
    </row>
    <row r="676" ht="15.75" customHeight="1" spans="3:3" x14ac:dyDescent="0.25">
      <c r="C676" s="1"/>
    </row>
    <row r="677" ht="15.75" customHeight="1" spans="3:3" x14ac:dyDescent="0.25">
      <c r="C677" s="1"/>
    </row>
    <row r="678" ht="15.75" customHeight="1" spans="3:3" x14ac:dyDescent="0.25">
      <c r="C678" s="1"/>
    </row>
    <row r="679" ht="15.75" customHeight="1" spans="3:3" x14ac:dyDescent="0.25">
      <c r="C679" s="1"/>
    </row>
    <row r="680" ht="15.75" customHeight="1" spans="3:3" x14ac:dyDescent="0.25">
      <c r="C680" s="1"/>
    </row>
    <row r="681" ht="15.75" customHeight="1" spans="3:3" x14ac:dyDescent="0.25">
      <c r="C681" s="1"/>
    </row>
    <row r="682" ht="15.75" customHeight="1" spans="3:3" x14ac:dyDescent="0.25">
      <c r="C682" s="1"/>
    </row>
    <row r="683" ht="15.75" customHeight="1" spans="3:3" x14ac:dyDescent="0.25">
      <c r="C683" s="1"/>
    </row>
    <row r="684" ht="15.75" customHeight="1" spans="3:3" x14ac:dyDescent="0.25">
      <c r="C684" s="1"/>
    </row>
    <row r="685" ht="15.75" customHeight="1" spans="3:3" x14ac:dyDescent="0.25">
      <c r="C685" s="1"/>
    </row>
    <row r="686" ht="15.75" customHeight="1" spans="3:3" x14ac:dyDescent="0.25">
      <c r="C686" s="1"/>
    </row>
    <row r="687" ht="15.75" customHeight="1" spans="3:3" x14ac:dyDescent="0.25">
      <c r="C687" s="1"/>
    </row>
    <row r="688" ht="15.75" customHeight="1" spans="3:3" x14ac:dyDescent="0.25">
      <c r="C688" s="1"/>
    </row>
    <row r="689" ht="15.75" customHeight="1" spans="3:3" x14ac:dyDescent="0.25">
      <c r="C689" s="1"/>
    </row>
    <row r="690" ht="15.75" customHeight="1" spans="3:3" x14ac:dyDescent="0.25">
      <c r="C690" s="1"/>
    </row>
    <row r="691" ht="15.75" customHeight="1" spans="3:3" x14ac:dyDescent="0.25">
      <c r="C691" s="1"/>
    </row>
    <row r="692" ht="15.75" customHeight="1" spans="3:3" x14ac:dyDescent="0.25">
      <c r="C692" s="1"/>
    </row>
    <row r="693" ht="15.75" customHeight="1" spans="3:3" x14ac:dyDescent="0.25">
      <c r="C693" s="1"/>
    </row>
    <row r="694" ht="15.75" customHeight="1" spans="3:3" x14ac:dyDescent="0.25">
      <c r="C694" s="1"/>
    </row>
    <row r="695" ht="15.75" customHeight="1" spans="3:3" x14ac:dyDescent="0.25">
      <c r="C695" s="1"/>
    </row>
    <row r="696" ht="15.75" customHeight="1" spans="3:3" x14ac:dyDescent="0.25">
      <c r="C696" s="1"/>
    </row>
    <row r="697" ht="15.75" customHeight="1" spans="3:3" x14ac:dyDescent="0.25">
      <c r="C697" s="1"/>
    </row>
    <row r="698" ht="15.75" customHeight="1" spans="3:3" x14ac:dyDescent="0.25">
      <c r="C698" s="1"/>
    </row>
    <row r="699" ht="15.75" customHeight="1" spans="3:3" x14ac:dyDescent="0.25">
      <c r="C699" s="1"/>
    </row>
    <row r="700" ht="15.75" customHeight="1" spans="3:3" x14ac:dyDescent="0.25">
      <c r="C700" s="1"/>
    </row>
    <row r="701" ht="15.75" customHeight="1" spans="3:3" x14ac:dyDescent="0.25">
      <c r="C701" s="1"/>
    </row>
    <row r="702" ht="15.75" customHeight="1" spans="3:3" x14ac:dyDescent="0.25">
      <c r="C702" s="1"/>
    </row>
    <row r="703" ht="15.75" customHeight="1" spans="3:3" x14ac:dyDescent="0.25">
      <c r="C703" s="1"/>
    </row>
    <row r="704" ht="15.75" customHeight="1" spans="3:3" x14ac:dyDescent="0.25">
      <c r="C704" s="1"/>
    </row>
    <row r="705" ht="15.75" customHeight="1" spans="3:3" x14ac:dyDescent="0.25">
      <c r="C705" s="1"/>
    </row>
    <row r="706" ht="15.75" customHeight="1" spans="3:3" x14ac:dyDescent="0.25">
      <c r="C706" s="1"/>
    </row>
    <row r="707" ht="15.75" customHeight="1" spans="3:3" x14ac:dyDescent="0.25">
      <c r="C707" s="1"/>
    </row>
    <row r="708" ht="15.75" customHeight="1" spans="3:3" x14ac:dyDescent="0.25">
      <c r="C708" s="1"/>
    </row>
    <row r="709" ht="15.75" customHeight="1" spans="3:3" x14ac:dyDescent="0.25">
      <c r="C709" s="1"/>
    </row>
    <row r="710" ht="15.75" customHeight="1" spans="3:3" x14ac:dyDescent="0.25">
      <c r="C710" s="1"/>
    </row>
    <row r="711" ht="15.75" customHeight="1" spans="3:3" x14ac:dyDescent="0.25">
      <c r="C711" s="1"/>
    </row>
    <row r="712" ht="15.75" customHeight="1" spans="3:3" x14ac:dyDescent="0.25">
      <c r="C712" s="1"/>
    </row>
    <row r="713" ht="15.75" customHeight="1" spans="3:3" x14ac:dyDescent="0.25">
      <c r="C713" s="1"/>
    </row>
    <row r="714" ht="15.75" customHeight="1" spans="3:3" x14ac:dyDescent="0.25">
      <c r="C714" s="1"/>
    </row>
    <row r="715" ht="15.75" customHeight="1" spans="3:3" x14ac:dyDescent="0.25">
      <c r="C715" s="1"/>
    </row>
    <row r="716" ht="15.75" customHeight="1" spans="3:3" x14ac:dyDescent="0.25">
      <c r="C716" s="1"/>
    </row>
    <row r="717" ht="15.75" customHeight="1" spans="3:3" x14ac:dyDescent="0.25">
      <c r="C717" s="1"/>
    </row>
    <row r="718" ht="15.75" customHeight="1" spans="3:3" x14ac:dyDescent="0.25">
      <c r="C718" s="1"/>
    </row>
    <row r="719" ht="15.75" customHeight="1" spans="3:3" x14ac:dyDescent="0.25">
      <c r="C719" s="1"/>
    </row>
    <row r="720" ht="15.75" customHeight="1" spans="3:3" x14ac:dyDescent="0.25">
      <c r="C720" s="1"/>
    </row>
    <row r="721" ht="15.75" customHeight="1" spans="3:3" x14ac:dyDescent="0.25">
      <c r="C721" s="1"/>
    </row>
    <row r="722" ht="15.75" customHeight="1" spans="3:3" x14ac:dyDescent="0.25">
      <c r="C722" s="1"/>
    </row>
    <row r="723" ht="15.75" customHeight="1" spans="3:3" x14ac:dyDescent="0.25">
      <c r="C723" s="1"/>
    </row>
    <row r="724" ht="15.75" customHeight="1" spans="3:3" x14ac:dyDescent="0.25">
      <c r="C724" s="1"/>
    </row>
    <row r="725" ht="15.75" customHeight="1" spans="3:3" x14ac:dyDescent="0.25">
      <c r="C725" s="1"/>
    </row>
    <row r="726" ht="15.75" customHeight="1" spans="3:3" x14ac:dyDescent="0.25">
      <c r="C726" s="1"/>
    </row>
    <row r="727" ht="15.75" customHeight="1" spans="3:3" x14ac:dyDescent="0.25">
      <c r="C727" s="1"/>
    </row>
    <row r="728" ht="15.75" customHeight="1" spans="3:3" x14ac:dyDescent="0.25">
      <c r="C728" s="1"/>
    </row>
    <row r="729" ht="15.75" customHeight="1" spans="3:3" x14ac:dyDescent="0.25">
      <c r="C729" s="1"/>
    </row>
    <row r="730" ht="15.75" customHeight="1" spans="3:3" x14ac:dyDescent="0.25">
      <c r="C730" s="1"/>
    </row>
    <row r="731" ht="15.75" customHeight="1" spans="3:3" x14ac:dyDescent="0.25">
      <c r="C731" s="1"/>
    </row>
    <row r="732" ht="15.75" customHeight="1" spans="3:3" x14ac:dyDescent="0.25">
      <c r="C732" s="1"/>
    </row>
    <row r="733" ht="15.75" customHeight="1" spans="3:3" x14ac:dyDescent="0.25">
      <c r="C733" s="1"/>
    </row>
    <row r="734" ht="15.75" customHeight="1" spans="3:3" x14ac:dyDescent="0.25">
      <c r="C734" s="1"/>
    </row>
    <row r="735" ht="15.75" customHeight="1" spans="3:3" x14ac:dyDescent="0.25">
      <c r="C735" s="1"/>
    </row>
    <row r="736" ht="15.75" customHeight="1" spans="3:3" x14ac:dyDescent="0.25">
      <c r="C736" s="1"/>
    </row>
    <row r="737" ht="15.75" customHeight="1" spans="3:3" x14ac:dyDescent="0.25">
      <c r="C737" s="1"/>
    </row>
    <row r="738" ht="15.75" customHeight="1" spans="3:3" x14ac:dyDescent="0.25">
      <c r="C738" s="1"/>
    </row>
    <row r="739" ht="15.75" customHeight="1" spans="3:3" x14ac:dyDescent="0.25">
      <c r="C739" s="1"/>
    </row>
    <row r="740" ht="15.75" customHeight="1" spans="3:3" x14ac:dyDescent="0.25">
      <c r="C740" s="1"/>
    </row>
    <row r="741" ht="15.75" customHeight="1" spans="3:3" x14ac:dyDescent="0.25">
      <c r="C741" s="1"/>
    </row>
    <row r="742" ht="15.75" customHeight="1" spans="3:3" x14ac:dyDescent="0.25">
      <c r="C742" s="1"/>
    </row>
    <row r="743" ht="15.75" customHeight="1" spans="3:3" x14ac:dyDescent="0.25">
      <c r="C743" s="1"/>
    </row>
    <row r="744" ht="15.75" customHeight="1" spans="3:3" x14ac:dyDescent="0.25">
      <c r="C744" s="1"/>
    </row>
    <row r="745" ht="15.75" customHeight="1" spans="3:3" x14ac:dyDescent="0.25">
      <c r="C745" s="1"/>
    </row>
    <row r="746" ht="15.75" customHeight="1" spans="3:3" x14ac:dyDescent="0.25">
      <c r="C746" s="1"/>
    </row>
    <row r="747" ht="15.75" customHeight="1" spans="3:3" x14ac:dyDescent="0.25">
      <c r="C747" s="1"/>
    </row>
    <row r="748" ht="15.75" customHeight="1" spans="3:3" x14ac:dyDescent="0.25">
      <c r="C748" s="1"/>
    </row>
    <row r="749" ht="15.75" customHeight="1" spans="3:3" x14ac:dyDescent="0.25">
      <c r="C749" s="1"/>
    </row>
    <row r="750" ht="15.75" customHeight="1" spans="3:3" x14ac:dyDescent="0.25">
      <c r="C750" s="1"/>
    </row>
    <row r="751" ht="15.75" customHeight="1" spans="3:3" x14ac:dyDescent="0.25">
      <c r="C751" s="1"/>
    </row>
    <row r="752" ht="15.75" customHeight="1" spans="3:3" x14ac:dyDescent="0.25">
      <c r="C752" s="1"/>
    </row>
    <row r="753" ht="15.75" customHeight="1" spans="3:3" x14ac:dyDescent="0.25">
      <c r="C753" s="1"/>
    </row>
    <row r="754" ht="15.75" customHeight="1" spans="3:3" x14ac:dyDescent="0.25">
      <c r="C754" s="1"/>
    </row>
    <row r="755" ht="15.75" customHeight="1" spans="3:3" x14ac:dyDescent="0.25">
      <c r="C755" s="1"/>
    </row>
    <row r="756" ht="15.75" customHeight="1" spans="3:3" x14ac:dyDescent="0.25">
      <c r="C756" s="1"/>
    </row>
    <row r="757" ht="15.75" customHeight="1" spans="3:3" x14ac:dyDescent="0.25">
      <c r="C757" s="1"/>
    </row>
    <row r="758" ht="15.75" customHeight="1" spans="3:3" x14ac:dyDescent="0.25">
      <c r="C758" s="1"/>
    </row>
    <row r="759" ht="15.75" customHeight="1" spans="3:3" x14ac:dyDescent="0.25">
      <c r="C759" s="1"/>
    </row>
    <row r="760" ht="15.75" customHeight="1" spans="3:3" x14ac:dyDescent="0.25">
      <c r="C760" s="1"/>
    </row>
    <row r="761" ht="15.75" customHeight="1" spans="3:3" x14ac:dyDescent="0.25">
      <c r="C761" s="1"/>
    </row>
    <row r="762" ht="15.75" customHeight="1" spans="3:3" x14ac:dyDescent="0.25">
      <c r="C762" s="1"/>
    </row>
    <row r="763" ht="15.75" customHeight="1" spans="3:3" x14ac:dyDescent="0.25">
      <c r="C763" s="1"/>
    </row>
    <row r="764" ht="15.75" customHeight="1" spans="3:3" x14ac:dyDescent="0.25">
      <c r="C764" s="1"/>
    </row>
    <row r="765" ht="15.75" customHeight="1" spans="3:3" x14ac:dyDescent="0.25">
      <c r="C765" s="1"/>
    </row>
    <row r="766" ht="15.75" customHeight="1" spans="3:3" x14ac:dyDescent="0.25">
      <c r="C766" s="1"/>
    </row>
    <row r="767" ht="15.75" customHeight="1" spans="3:3" x14ac:dyDescent="0.25">
      <c r="C767" s="1"/>
    </row>
    <row r="768" ht="15.75" customHeight="1" spans="3:3" x14ac:dyDescent="0.25">
      <c r="C768" s="1"/>
    </row>
    <row r="769" ht="15.75" customHeight="1" spans="3:3" x14ac:dyDescent="0.25">
      <c r="C769" s="1"/>
    </row>
    <row r="770" ht="15.75" customHeight="1" spans="3:3" x14ac:dyDescent="0.25">
      <c r="C770" s="1"/>
    </row>
    <row r="771" ht="15.75" customHeight="1" spans="3:3" x14ac:dyDescent="0.25">
      <c r="C771" s="1"/>
    </row>
    <row r="772" ht="15.75" customHeight="1" spans="3:3" x14ac:dyDescent="0.25">
      <c r="C772" s="1"/>
    </row>
    <row r="773" ht="15.75" customHeight="1" spans="3:3" x14ac:dyDescent="0.25">
      <c r="C773" s="1"/>
    </row>
    <row r="774" ht="15.75" customHeight="1" spans="3:3" x14ac:dyDescent="0.25">
      <c r="C774" s="1"/>
    </row>
    <row r="775" ht="15.75" customHeight="1" spans="3:3" x14ac:dyDescent="0.25">
      <c r="C775" s="1"/>
    </row>
    <row r="776" ht="15.75" customHeight="1" spans="3:3" x14ac:dyDescent="0.25">
      <c r="C776" s="1"/>
    </row>
    <row r="777" ht="15.75" customHeight="1" spans="3:3" x14ac:dyDescent="0.25">
      <c r="C777" s="1"/>
    </row>
    <row r="778" ht="15.75" customHeight="1" spans="3:3" x14ac:dyDescent="0.25">
      <c r="C778" s="1"/>
    </row>
    <row r="779" ht="15.75" customHeight="1" spans="3:3" x14ac:dyDescent="0.25">
      <c r="C779" s="1"/>
    </row>
    <row r="780" ht="15.75" customHeight="1" spans="3:3" x14ac:dyDescent="0.25">
      <c r="C780" s="1"/>
    </row>
    <row r="781" ht="15.75" customHeight="1" spans="3:3" x14ac:dyDescent="0.25">
      <c r="C781" s="1"/>
    </row>
    <row r="782" ht="15.75" customHeight="1" spans="3:3" x14ac:dyDescent="0.25">
      <c r="C782" s="1"/>
    </row>
    <row r="783" ht="15.75" customHeight="1" spans="3:3" x14ac:dyDescent="0.25">
      <c r="C783" s="1"/>
    </row>
    <row r="784" ht="15.75" customHeight="1" spans="3:3" x14ac:dyDescent="0.25">
      <c r="C784" s="1"/>
    </row>
    <row r="785" ht="15.75" customHeight="1" spans="3:3" x14ac:dyDescent="0.25">
      <c r="C785" s="1"/>
    </row>
    <row r="786" ht="15.75" customHeight="1" spans="3:3" x14ac:dyDescent="0.25">
      <c r="C786" s="1"/>
    </row>
    <row r="787" ht="15.75" customHeight="1" spans="3:3" x14ac:dyDescent="0.25">
      <c r="C787" s="1"/>
    </row>
    <row r="788" ht="15.75" customHeight="1" spans="3:3" x14ac:dyDescent="0.25">
      <c r="C788" s="1"/>
    </row>
    <row r="789" ht="15.75" customHeight="1" spans="3:3" x14ac:dyDescent="0.25">
      <c r="C789" s="1"/>
    </row>
    <row r="790" ht="15.75" customHeight="1" spans="3:3" x14ac:dyDescent="0.25">
      <c r="C790" s="1"/>
    </row>
    <row r="791" ht="15.75" customHeight="1" spans="3:3" x14ac:dyDescent="0.25">
      <c r="C791" s="1"/>
    </row>
    <row r="792" ht="15.75" customHeight="1" spans="3:3" x14ac:dyDescent="0.25">
      <c r="C792" s="1"/>
    </row>
    <row r="793" ht="15.75" customHeight="1" spans="3:3" x14ac:dyDescent="0.25">
      <c r="C793" s="1"/>
    </row>
    <row r="794" ht="15.75" customHeight="1" spans="3:3" x14ac:dyDescent="0.25">
      <c r="C794" s="1"/>
    </row>
    <row r="795" ht="15.75" customHeight="1" spans="3:3" x14ac:dyDescent="0.25">
      <c r="C795" s="1"/>
    </row>
    <row r="796" ht="15.75" customHeight="1" spans="3:3" x14ac:dyDescent="0.25">
      <c r="C796" s="1"/>
    </row>
    <row r="797" ht="15.75" customHeight="1" spans="3:3" x14ac:dyDescent="0.25">
      <c r="C797" s="1"/>
    </row>
    <row r="798" ht="15.75" customHeight="1" spans="3:3" x14ac:dyDescent="0.25">
      <c r="C798" s="1"/>
    </row>
    <row r="799" ht="15.75" customHeight="1" spans="3:3" x14ac:dyDescent="0.25">
      <c r="C799" s="1"/>
    </row>
    <row r="800" ht="15.75" customHeight="1" spans="3:3" x14ac:dyDescent="0.25">
      <c r="C800" s="1"/>
    </row>
    <row r="801" ht="15.75" customHeight="1" spans="3:3" x14ac:dyDescent="0.25">
      <c r="C801" s="1"/>
    </row>
    <row r="802" ht="15.75" customHeight="1" spans="3:3" x14ac:dyDescent="0.25">
      <c r="C802" s="1"/>
    </row>
    <row r="803" ht="15.75" customHeight="1" spans="3:3" x14ac:dyDescent="0.25">
      <c r="C803" s="1"/>
    </row>
    <row r="804" ht="15.75" customHeight="1" spans="3:3" x14ac:dyDescent="0.25">
      <c r="C804" s="1"/>
    </row>
    <row r="805" ht="15.75" customHeight="1" spans="3:3" x14ac:dyDescent="0.25">
      <c r="C805" s="1"/>
    </row>
    <row r="806" ht="15.75" customHeight="1" spans="3:3" x14ac:dyDescent="0.25">
      <c r="C806" s="1"/>
    </row>
    <row r="807" ht="15.75" customHeight="1" spans="3:3" x14ac:dyDescent="0.25">
      <c r="C807" s="1"/>
    </row>
    <row r="808" ht="15.75" customHeight="1" spans="3:3" x14ac:dyDescent="0.25">
      <c r="C808" s="1"/>
    </row>
    <row r="809" ht="15.75" customHeight="1" spans="3:3" x14ac:dyDescent="0.25">
      <c r="C809" s="1"/>
    </row>
    <row r="810" ht="15.75" customHeight="1" spans="3:3" x14ac:dyDescent="0.25">
      <c r="C810" s="1"/>
    </row>
    <row r="811" ht="15.75" customHeight="1" spans="3:3" x14ac:dyDescent="0.25">
      <c r="C811" s="1"/>
    </row>
    <row r="812" ht="15.75" customHeight="1" spans="3:3" x14ac:dyDescent="0.25">
      <c r="C812" s="1"/>
    </row>
    <row r="813" ht="15.75" customHeight="1" spans="3:3" x14ac:dyDescent="0.25">
      <c r="C813" s="1"/>
    </row>
    <row r="814" ht="15.75" customHeight="1" spans="3:3" x14ac:dyDescent="0.25">
      <c r="C814" s="1"/>
    </row>
    <row r="815" ht="15.75" customHeight="1" spans="3:3" x14ac:dyDescent="0.25">
      <c r="C815" s="1"/>
    </row>
    <row r="816" ht="15.75" customHeight="1" spans="3:3" x14ac:dyDescent="0.25">
      <c r="C816" s="1"/>
    </row>
    <row r="817" ht="15.75" customHeight="1" spans="3:3" x14ac:dyDescent="0.25">
      <c r="C817" s="1"/>
    </row>
    <row r="818" ht="15.75" customHeight="1" spans="3:3" x14ac:dyDescent="0.25">
      <c r="C818" s="1"/>
    </row>
    <row r="819" ht="15.75" customHeight="1" spans="3:3" x14ac:dyDescent="0.25">
      <c r="C819" s="1"/>
    </row>
    <row r="820" ht="15.75" customHeight="1" spans="3:3" x14ac:dyDescent="0.25">
      <c r="C820" s="1"/>
    </row>
    <row r="821" ht="15.75" customHeight="1" spans="3:3" x14ac:dyDescent="0.25">
      <c r="C821" s="1"/>
    </row>
    <row r="822" ht="15.75" customHeight="1" spans="3:3" x14ac:dyDescent="0.25">
      <c r="C822" s="1"/>
    </row>
    <row r="823" ht="15.75" customHeight="1" spans="3:3" x14ac:dyDescent="0.25">
      <c r="C823" s="1"/>
    </row>
    <row r="824" ht="15.75" customHeight="1" spans="3:3" x14ac:dyDescent="0.25">
      <c r="C824" s="1"/>
    </row>
    <row r="825" ht="15.75" customHeight="1" spans="3:3" x14ac:dyDescent="0.25">
      <c r="C825" s="1"/>
    </row>
    <row r="826" ht="15.75" customHeight="1" spans="3:3" x14ac:dyDescent="0.25">
      <c r="C826" s="1"/>
    </row>
    <row r="827" ht="15.75" customHeight="1" spans="3:3" x14ac:dyDescent="0.25">
      <c r="C827" s="1"/>
    </row>
    <row r="828" ht="15.75" customHeight="1" spans="3:3" x14ac:dyDescent="0.25">
      <c r="C828" s="1"/>
    </row>
    <row r="829" ht="15.75" customHeight="1" spans="3:3" x14ac:dyDescent="0.25">
      <c r="C829" s="1"/>
    </row>
    <row r="830" ht="15.75" customHeight="1" spans="3:3" x14ac:dyDescent="0.25">
      <c r="C830" s="1"/>
    </row>
    <row r="831" ht="15.75" customHeight="1" spans="3:3" x14ac:dyDescent="0.25">
      <c r="C831" s="1"/>
    </row>
    <row r="832" ht="15.75" customHeight="1" spans="3:3" x14ac:dyDescent="0.25">
      <c r="C832" s="1"/>
    </row>
    <row r="833" ht="15.75" customHeight="1" spans="3:3" x14ac:dyDescent="0.25">
      <c r="C833" s="1"/>
    </row>
    <row r="834" ht="15.75" customHeight="1" spans="3:3" x14ac:dyDescent="0.25">
      <c r="C834" s="1"/>
    </row>
    <row r="835" ht="15.75" customHeight="1" spans="3:3" x14ac:dyDescent="0.25">
      <c r="C835" s="1"/>
    </row>
    <row r="836" ht="15.75" customHeight="1" spans="3:3" x14ac:dyDescent="0.25">
      <c r="C836" s="1"/>
    </row>
    <row r="837" ht="15.75" customHeight="1" spans="3:3" x14ac:dyDescent="0.25">
      <c r="C837" s="1"/>
    </row>
    <row r="838" ht="15.75" customHeight="1" spans="3:3" x14ac:dyDescent="0.25">
      <c r="C838" s="1"/>
    </row>
    <row r="839" ht="15.75" customHeight="1" spans="3:3" x14ac:dyDescent="0.25">
      <c r="C839" s="1"/>
    </row>
    <row r="840" ht="15.75" customHeight="1" spans="3:3" x14ac:dyDescent="0.25">
      <c r="C840" s="1"/>
    </row>
    <row r="841" ht="15.75" customHeight="1" spans="3:3" x14ac:dyDescent="0.25">
      <c r="C841" s="1"/>
    </row>
    <row r="842" ht="15.75" customHeight="1" spans="3:3" x14ac:dyDescent="0.25">
      <c r="C842" s="1"/>
    </row>
    <row r="843" ht="15.75" customHeight="1" spans="3:3" x14ac:dyDescent="0.25">
      <c r="C843" s="1"/>
    </row>
    <row r="844" ht="15.75" customHeight="1" spans="3:3" x14ac:dyDescent="0.25">
      <c r="C844" s="1"/>
    </row>
    <row r="845" ht="15.75" customHeight="1" spans="3:3" x14ac:dyDescent="0.25">
      <c r="C845" s="1"/>
    </row>
    <row r="846" ht="15.75" customHeight="1" spans="3:3" x14ac:dyDescent="0.25">
      <c r="C846" s="1"/>
    </row>
    <row r="847" ht="15.75" customHeight="1" spans="3:3" x14ac:dyDescent="0.25">
      <c r="C847" s="1"/>
    </row>
    <row r="848" ht="15.75" customHeight="1" spans="3:3" x14ac:dyDescent="0.25">
      <c r="C848" s="1"/>
    </row>
    <row r="849" ht="15.75" customHeight="1" spans="3:3" x14ac:dyDescent="0.25">
      <c r="C849" s="1"/>
    </row>
    <row r="850" ht="15.75" customHeight="1" spans="3:3" x14ac:dyDescent="0.25">
      <c r="C850" s="1"/>
    </row>
    <row r="851" ht="15.75" customHeight="1" spans="3:3" x14ac:dyDescent="0.25">
      <c r="C851" s="1"/>
    </row>
    <row r="852" ht="15.75" customHeight="1" spans="3:3" x14ac:dyDescent="0.25">
      <c r="C852" s="1"/>
    </row>
    <row r="853" ht="15.75" customHeight="1" spans="3:3" x14ac:dyDescent="0.25">
      <c r="C853" s="1"/>
    </row>
    <row r="854" ht="15.75" customHeight="1" spans="3:3" x14ac:dyDescent="0.25">
      <c r="C854" s="1"/>
    </row>
    <row r="855" ht="15.75" customHeight="1" spans="3:3" x14ac:dyDescent="0.25">
      <c r="C855" s="1"/>
    </row>
    <row r="856" ht="15.75" customHeight="1" spans="3:3" x14ac:dyDescent="0.25">
      <c r="C856" s="1"/>
    </row>
    <row r="857" ht="15.75" customHeight="1" spans="3:3" x14ac:dyDescent="0.25">
      <c r="C857" s="1"/>
    </row>
    <row r="858" ht="15.75" customHeight="1" spans="3:3" x14ac:dyDescent="0.25">
      <c r="C858" s="1"/>
    </row>
    <row r="859" ht="15.75" customHeight="1" spans="3:3" x14ac:dyDescent="0.25">
      <c r="C859" s="1"/>
    </row>
    <row r="860" ht="15.75" customHeight="1" spans="3:3" x14ac:dyDescent="0.25">
      <c r="C860" s="1"/>
    </row>
    <row r="861" ht="15.75" customHeight="1" spans="3:3" x14ac:dyDescent="0.25">
      <c r="C861" s="1"/>
    </row>
    <row r="862" ht="15.75" customHeight="1" spans="3:3" x14ac:dyDescent="0.25">
      <c r="C862" s="1"/>
    </row>
    <row r="863" ht="15.75" customHeight="1" spans="3:3" x14ac:dyDescent="0.25">
      <c r="C863" s="1"/>
    </row>
    <row r="864" ht="15.75" customHeight="1" spans="3:3" x14ac:dyDescent="0.25">
      <c r="C864" s="1"/>
    </row>
    <row r="865" ht="15.75" customHeight="1" spans="3:3" x14ac:dyDescent="0.25">
      <c r="C865" s="1"/>
    </row>
    <row r="866" ht="15.75" customHeight="1" spans="3:3" x14ac:dyDescent="0.25">
      <c r="C866" s="1"/>
    </row>
    <row r="867" ht="15.75" customHeight="1" spans="3:3" x14ac:dyDescent="0.25">
      <c r="C867" s="1"/>
    </row>
    <row r="868" ht="15.75" customHeight="1" spans="3:3" x14ac:dyDescent="0.25">
      <c r="C868" s="1"/>
    </row>
    <row r="869" ht="15.75" customHeight="1" spans="3:3" x14ac:dyDescent="0.25">
      <c r="C869" s="1"/>
    </row>
    <row r="870" ht="15.75" customHeight="1" spans="3:3" x14ac:dyDescent="0.25">
      <c r="C870" s="1"/>
    </row>
    <row r="871" ht="15.75" customHeight="1" spans="3:3" x14ac:dyDescent="0.25">
      <c r="C871" s="1"/>
    </row>
    <row r="872" ht="15.75" customHeight="1" spans="3:3" x14ac:dyDescent="0.25">
      <c r="C872" s="1"/>
    </row>
    <row r="873" ht="15.75" customHeight="1" spans="3:3" x14ac:dyDescent="0.25">
      <c r="C873" s="1"/>
    </row>
    <row r="874" ht="15.75" customHeight="1" spans="3:3" x14ac:dyDescent="0.25">
      <c r="C874" s="1"/>
    </row>
    <row r="875" ht="15.75" customHeight="1" spans="3:3" x14ac:dyDescent="0.25">
      <c r="C875" s="1"/>
    </row>
    <row r="876" ht="15.75" customHeight="1" spans="3:3" x14ac:dyDescent="0.25">
      <c r="C876" s="1"/>
    </row>
    <row r="877" ht="15.75" customHeight="1" spans="3:3" x14ac:dyDescent="0.25">
      <c r="C877" s="1"/>
    </row>
    <row r="878" ht="15.75" customHeight="1" spans="3:3" x14ac:dyDescent="0.25">
      <c r="C878" s="1"/>
    </row>
    <row r="879" ht="15.75" customHeight="1" spans="3:3" x14ac:dyDescent="0.25">
      <c r="C879" s="1"/>
    </row>
    <row r="880" ht="15.75" customHeight="1" spans="3:3" x14ac:dyDescent="0.25">
      <c r="C880" s="1"/>
    </row>
    <row r="881" ht="15.75" customHeight="1" spans="3:3" x14ac:dyDescent="0.25">
      <c r="C881" s="1"/>
    </row>
    <row r="882" ht="15.75" customHeight="1" spans="3:3" x14ac:dyDescent="0.25">
      <c r="C882" s="1"/>
    </row>
    <row r="883" ht="15.75" customHeight="1" spans="3:3" x14ac:dyDescent="0.25">
      <c r="C883" s="1"/>
    </row>
    <row r="884" ht="15.75" customHeight="1" spans="3:3" x14ac:dyDescent="0.25">
      <c r="C884" s="1"/>
    </row>
    <row r="885" ht="15.75" customHeight="1" spans="3:3" x14ac:dyDescent="0.25">
      <c r="C885" s="1"/>
    </row>
    <row r="886" ht="15.75" customHeight="1" spans="3:3" x14ac:dyDescent="0.25">
      <c r="C886" s="1"/>
    </row>
    <row r="887" ht="15.75" customHeight="1" spans="3:3" x14ac:dyDescent="0.25">
      <c r="C887" s="1"/>
    </row>
    <row r="888" ht="15.75" customHeight="1" spans="3:3" x14ac:dyDescent="0.25">
      <c r="C888" s="1"/>
    </row>
    <row r="889" ht="15.75" customHeight="1" spans="3:3" x14ac:dyDescent="0.25">
      <c r="C889" s="1"/>
    </row>
    <row r="890" ht="15.75" customHeight="1" spans="3:3" x14ac:dyDescent="0.25">
      <c r="C890" s="1"/>
    </row>
    <row r="891" ht="15.75" customHeight="1" spans="3:3" x14ac:dyDescent="0.25">
      <c r="C891" s="1"/>
    </row>
    <row r="892" ht="15.75" customHeight="1" spans="3:3" x14ac:dyDescent="0.25">
      <c r="C892" s="1"/>
    </row>
    <row r="893" ht="15.75" customHeight="1" spans="3:3" x14ac:dyDescent="0.25">
      <c r="C893" s="1"/>
    </row>
    <row r="894" ht="15.75" customHeight="1" spans="3:3" x14ac:dyDescent="0.25">
      <c r="C894" s="1"/>
    </row>
    <row r="895" ht="15.75" customHeight="1" spans="3:3" x14ac:dyDescent="0.25">
      <c r="C895" s="1"/>
    </row>
    <row r="896" ht="15.75" customHeight="1" spans="3:3" x14ac:dyDescent="0.25">
      <c r="C896" s="1"/>
    </row>
    <row r="897" ht="15.75" customHeight="1" spans="3:3" x14ac:dyDescent="0.25">
      <c r="C897" s="1"/>
    </row>
    <row r="898" ht="15.75" customHeight="1" spans="3:3" x14ac:dyDescent="0.25">
      <c r="C898" s="1"/>
    </row>
    <row r="899" ht="15.75" customHeight="1" spans="3:3" x14ac:dyDescent="0.25">
      <c r="C899" s="1"/>
    </row>
    <row r="900" ht="15.75" customHeight="1" spans="3:3" x14ac:dyDescent="0.25">
      <c r="C900" s="1"/>
    </row>
    <row r="901" ht="15.75" customHeight="1" spans="3:3" x14ac:dyDescent="0.25">
      <c r="C901" s="1"/>
    </row>
    <row r="902" ht="15.75" customHeight="1" spans="3:3" x14ac:dyDescent="0.25">
      <c r="C902" s="1"/>
    </row>
    <row r="903" ht="15.75" customHeight="1" spans="3:3" x14ac:dyDescent="0.25">
      <c r="C903" s="1"/>
    </row>
    <row r="904" ht="15.75" customHeight="1" spans="3:3" x14ac:dyDescent="0.25">
      <c r="C904" s="1"/>
    </row>
    <row r="905" ht="15.75" customHeight="1" spans="3:3" x14ac:dyDescent="0.25">
      <c r="C905" s="1"/>
    </row>
    <row r="906" ht="15.75" customHeight="1" spans="3:3" x14ac:dyDescent="0.25">
      <c r="C906" s="1"/>
    </row>
    <row r="907" ht="15.75" customHeight="1" spans="3:3" x14ac:dyDescent="0.25">
      <c r="C907" s="1"/>
    </row>
    <row r="908" ht="15.75" customHeight="1" spans="3:3" x14ac:dyDescent="0.25">
      <c r="C908" s="1"/>
    </row>
    <row r="909" ht="15.75" customHeight="1" spans="3:3" x14ac:dyDescent="0.25">
      <c r="C909" s="1"/>
    </row>
    <row r="910" ht="15.75" customHeight="1" spans="3:3" x14ac:dyDescent="0.25">
      <c r="C910" s="1"/>
    </row>
    <row r="911" ht="15.75" customHeight="1" spans="3:3" x14ac:dyDescent="0.25">
      <c r="C911" s="1"/>
    </row>
    <row r="912" ht="15.75" customHeight="1" spans="3:3" x14ac:dyDescent="0.25">
      <c r="C912" s="1"/>
    </row>
    <row r="913" ht="15.75" customHeight="1" spans="3:3" x14ac:dyDescent="0.25">
      <c r="C913" s="1"/>
    </row>
    <row r="914" ht="15.75" customHeight="1" spans="3:3" x14ac:dyDescent="0.25">
      <c r="C914" s="1"/>
    </row>
    <row r="915" ht="15.75" customHeight="1" spans="3:3" x14ac:dyDescent="0.25">
      <c r="C915" s="1"/>
    </row>
    <row r="916" ht="15.75" customHeight="1" spans="3:3" x14ac:dyDescent="0.25">
      <c r="C916" s="1"/>
    </row>
    <row r="917" ht="15.75" customHeight="1" spans="3:3" x14ac:dyDescent="0.25">
      <c r="C917" s="1"/>
    </row>
    <row r="918" ht="15.75" customHeight="1" spans="3:3" x14ac:dyDescent="0.25">
      <c r="C918" s="1"/>
    </row>
    <row r="919" ht="15.75" customHeight="1" spans="3:3" x14ac:dyDescent="0.25">
      <c r="C919" s="1"/>
    </row>
    <row r="920" ht="15.75" customHeight="1" spans="3:3" x14ac:dyDescent="0.25">
      <c r="C920" s="1"/>
    </row>
    <row r="921" ht="15.75" customHeight="1" spans="3:3" x14ac:dyDescent="0.25">
      <c r="C921" s="1"/>
    </row>
    <row r="922" ht="15.75" customHeight="1" spans="3:3" x14ac:dyDescent="0.25">
      <c r="C922" s="1"/>
    </row>
    <row r="923" ht="15.75" customHeight="1" spans="3:3" x14ac:dyDescent="0.25">
      <c r="C923" s="1"/>
    </row>
    <row r="924" ht="15.75" customHeight="1" spans="3:3" x14ac:dyDescent="0.25">
      <c r="C924" s="1"/>
    </row>
    <row r="925" ht="15.75" customHeight="1" spans="3:3" x14ac:dyDescent="0.25">
      <c r="C925" s="1"/>
    </row>
    <row r="926" ht="15.75" customHeight="1" spans="3:3" x14ac:dyDescent="0.25">
      <c r="C926" s="1"/>
    </row>
    <row r="927" ht="15.75" customHeight="1" spans="3:3" x14ac:dyDescent="0.25">
      <c r="C927" s="1"/>
    </row>
    <row r="928" ht="15.75" customHeight="1" spans="3:3" x14ac:dyDescent="0.25">
      <c r="C928" s="1"/>
    </row>
    <row r="929" ht="15.75" customHeight="1" spans="3:3" x14ac:dyDescent="0.25">
      <c r="C929" s="1"/>
    </row>
    <row r="930" ht="15.75" customHeight="1" spans="3:3" x14ac:dyDescent="0.25">
      <c r="C930" s="1"/>
    </row>
    <row r="931" ht="15.75" customHeight="1" spans="3:3" x14ac:dyDescent="0.25">
      <c r="C931" s="1"/>
    </row>
    <row r="932" ht="15.75" customHeight="1" spans="3:3" x14ac:dyDescent="0.25">
      <c r="C932" s="1"/>
    </row>
    <row r="933" ht="15.75" customHeight="1" spans="3:3" x14ac:dyDescent="0.25">
      <c r="C933" s="1"/>
    </row>
    <row r="934" ht="15.75" customHeight="1" spans="3:3" x14ac:dyDescent="0.25">
      <c r="C934" s="1"/>
    </row>
    <row r="935" ht="15.75" customHeight="1" spans="3:3" x14ac:dyDescent="0.25">
      <c r="C935" s="1"/>
    </row>
    <row r="936" ht="15.75" customHeight="1" spans="3:3" x14ac:dyDescent="0.25">
      <c r="C936" s="1"/>
    </row>
    <row r="937" ht="15.75" customHeight="1" spans="3:3" x14ac:dyDescent="0.25">
      <c r="C937" s="1"/>
    </row>
    <row r="938" ht="15.75" customHeight="1" spans="3:3" x14ac:dyDescent="0.25">
      <c r="C938" s="1"/>
    </row>
    <row r="939" ht="15.75" customHeight="1" spans="3:3" x14ac:dyDescent="0.25">
      <c r="C939" s="1"/>
    </row>
    <row r="940" ht="15.75" customHeight="1" spans="3:3" x14ac:dyDescent="0.25">
      <c r="C940" s="1"/>
    </row>
    <row r="941" ht="15.75" customHeight="1" spans="3:3" x14ac:dyDescent="0.25">
      <c r="C941" s="1"/>
    </row>
    <row r="942" ht="15.75" customHeight="1" spans="3:3" x14ac:dyDescent="0.25">
      <c r="C942" s="1"/>
    </row>
    <row r="943" ht="15.75" customHeight="1" spans="3:3" x14ac:dyDescent="0.25">
      <c r="C943" s="1"/>
    </row>
    <row r="944" ht="15.75" customHeight="1" spans="3:3" x14ac:dyDescent="0.25">
      <c r="C944" s="1"/>
    </row>
    <row r="945" ht="15.75" customHeight="1" spans="3:3" x14ac:dyDescent="0.25">
      <c r="C945" s="1"/>
    </row>
    <row r="946" ht="15.75" customHeight="1" spans="3:3" x14ac:dyDescent="0.25">
      <c r="C946" s="1"/>
    </row>
    <row r="947" ht="15.75" customHeight="1" spans="3:3" x14ac:dyDescent="0.25">
      <c r="C947" s="1"/>
    </row>
    <row r="948" ht="15.75" customHeight="1" spans="3:3" x14ac:dyDescent="0.25">
      <c r="C948" s="1"/>
    </row>
    <row r="949" ht="15.75" customHeight="1" spans="3:3" x14ac:dyDescent="0.25">
      <c r="C949" s="1"/>
    </row>
    <row r="950" ht="15.75" customHeight="1" spans="3:3" x14ac:dyDescent="0.25">
      <c r="C950" s="1"/>
    </row>
    <row r="951" ht="15.75" customHeight="1" spans="3:3" x14ac:dyDescent="0.25">
      <c r="C951" s="1"/>
    </row>
    <row r="952" ht="15.75" customHeight="1" spans="3:3" x14ac:dyDescent="0.25">
      <c r="C952" s="1"/>
    </row>
    <row r="953" ht="15.75" customHeight="1" spans="3:3" x14ac:dyDescent="0.25">
      <c r="C953" s="1"/>
    </row>
    <row r="954" ht="15.75" customHeight="1" spans="3:3" x14ac:dyDescent="0.25">
      <c r="C954" s="1"/>
    </row>
    <row r="955" ht="15.75" customHeight="1" spans="3:3" x14ac:dyDescent="0.25">
      <c r="C955" s="1"/>
    </row>
    <row r="956" ht="15.75" customHeight="1" spans="3:3" x14ac:dyDescent="0.25">
      <c r="C956" s="1"/>
    </row>
    <row r="957" ht="15.75" customHeight="1" spans="3:3" x14ac:dyDescent="0.25">
      <c r="C957" s="1"/>
    </row>
    <row r="958" ht="15.75" customHeight="1" spans="3:3" x14ac:dyDescent="0.25">
      <c r="C958" s="1"/>
    </row>
    <row r="959" ht="15.75" customHeight="1" spans="3:3" x14ac:dyDescent="0.25">
      <c r="C959" s="1"/>
    </row>
    <row r="960" ht="15.75" customHeight="1" spans="3:3" x14ac:dyDescent="0.25">
      <c r="C960" s="1"/>
    </row>
    <row r="961" ht="15.75" customHeight="1" spans="3:3" x14ac:dyDescent="0.25">
      <c r="C961" s="1"/>
    </row>
    <row r="962" ht="15.75" customHeight="1" spans="3:3" x14ac:dyDescent="0.25">
      <c r="C962" s="1"/>
    </row>
    <row r="963" ht="15.75" customHeight="1" spans="3:3" x14ac:dyDescent="0.25">
      <c r="C963" s="1"/>
    </row>
    <row r="964" ht="15.75" customHeight="1" spans="3:3" x14ac:dyDescent="0.25">
      <c r="C964" s="1"/>
    </row>
    <row r="965" ht="15.75" customHeight="1" spans="3:3" x14ac:dyDescent="0.25">
      <c r="C965" s="1"/>
    </row>
    <row r="966" ht="15.75" customHeight="1" spans="3:3" x14ac:dyDescent="0.25">
      <c r="C966" s="1"/>
    </row>
    <row r="967" ht="15.75" customHeight="1" spans="3:3" x14ac:dyDescent="0.25">
      <c r="C967" s="1"/>
    </row>
    <row r="968" ht="15.75" customHeight="1" spans="3:3" x14ac:dyDescent="0.25">
      <c r="C968" s="1"/>
    </row>
    <row r="969" ht="15.75" customHeight="1" spans="3:3" x14ac:dyDescent="0.25">
      <c r="C969" s="1"/>
    </row>
    <row r="970" ht="15.75" customHeight="1" spans="3:3" x14ac:dyDescent="0.25">
      <c r="C970" s="1"/>
    </row>
    <row r="971" ht="15.75" customHeight="1" spans="3:3" x14ac:dyDescent="0.25">
      <c r="C971" s="1"/>
    </row>
    <row r="972" ht="15.75" customHeight="1" spans="3:3" x14ac:dyDescent="0.25">
      <c r="C972" s="1"/>
    </row>
    <row r="973" ht="15.75" customHeight="1" spans="3:3" x14ac:dyDescent="0.25">
      <c r="C973" s="1"/>
    </row>
    <row r="974" ht="15.75" customHeight="1" spans="3:3" x14ac:dyDescent="0.25">
      <c r="C974" s="1"/>
    </row>
    <row r="975" ht="15.75" customHeight="1" spans="3:3" x14ac:dyDescent="0.25">
      <c r="C975" s="1"/>
    </row>
    <row r="976" ht="15.75" customHeight="1" spans="3:3" x14ac:dyDescent="0.25">
      <c r="C976" s="1"/>
    </row>
    <row r="977" ht="15.75" customHeight="1" spans="3:3" x14ac:dyDescent="0.25">
      <c r="C977" s="1"/>
    </row>
    <row r="978" ht="15.75" customHeight="1" spans="3:3" x14ac:dyDescent="0.25">
      <c r="C978" s="1"/>
    </row>
    <row r="979" ht="15.75" customHeight="1" spans="3:3" x14ac:dyDescent="0.25">
      <c r="C979" s="1"/>
    </row>
    <row r="980" ht="15.75" customHeight="1" spans="3:3" x14ac:dyDescent="0.25">
      <c r="C980" s="1"/>
    </row>
    <row r="981" ht="15.75" customHeight="1" spans="3:3" x14ac:dyDescent="0.25">
      <c r="C981" s="1"/>
    </row>
    <row r="982" ht="15.75" customHeight="1" spans="3:3" x14ac:dyDescent="0.25">
      <c r="C982" s="1"/>
    </row>
    <row r="983" ht="15.75" customHeight="1" spans="3:3" x14ac:dyDescent="0.25">
      <c r="C983" s="1"/>
    </row>
    <row r="984" ht="15.75" customHeight="1" spans="3:3" x14ac:dyDescent="0.25">
      <c r="C984" s="1"/>
    </row>
    <row r="985" ht="15.75" customHeight="1" spans="3:3" x14ac:dyDescent="0.25">
      <c r="C985" s="1"/>
    </row>
    <row r="986" ht="15.75" customHeight="1" spans="3:3" x14ac:dyDescent="0.25">
      <c r="C986" s="1"/>
    </row>
    <row r="987" ht="15.75" customHeight="1" spans="3:3" x14ac:dyDescent="0.25">
      <c r="C987" s="1"/>
    </row>
    <row r="988" ht="15.75" customHeight="1" spans="3:3" x14ac:dyDescent="0.25">
      <c r="C988" s="1"/>
    </row>
    <row r="989" ht="15.75" customHeight="1" spans="3:3" x14ac:dyDescent="0.25">
      <c r="C989" s="1"/>
    </row>
    <row r="990" ht="15.75" customHeight="1" spans="3:3" x14ac:dyDescent="0.25">
      <c r="C990" s="1"/>
    </row>
    <row r="991" ht="15.75" customHeight="1" spans="3:3" x14ac:dyDescent="0.25">
      <c r="C991" s="1"/>
    </row>
    <row r="992" ht="15.75" customHeight="1" spans="3:3" x14ac:dyDescent="0.25">
      <c r="C992" s="1"/>
    </row>
    <row r="993" ht="15.75" customHeight="1" spans="3:3" x14ac:dyDescent="0.25">
      <c r="C993" s="1"/>
    </row>
    <row r="994" ht="15.75" customHeight="1" spans="3:3" x14ac:dyDescent="0.25">
      <c r="C994" s="1"/>
    </row>
    <row r="995" ht="15.75" customHeight="1" spans="3:3" x14ac:dyDescent="0.25">
      <c r="C995" s="1"/>
    </row>
    <row r="996" ht="15.75" customHeight="1" spans="3:3" x14ac:dyDescent="0.25">
      <c r="C996" s="1"/>
    </row>
    <row r="997" ht="15.75" customHeight="1" spans="3:3" x14ac:dyDescent="0.25">
      <c r="C997" s="1"/>
    </row>
    <row r="998" ht="15.75" customHeight="1" spans="3:3" x14ac:dyDescent="0.25">
      <c r="C998" s="1"/>
    </row>
    <row r="999" ht="15.75" customHeight="1" spans="3:3" x14ac:dyDescent="0.25">
      <c r="C999" s="1"/>
    </row>
    <row r="1000" ht="15.75" customHeight="1" spans="3:3" x14ac:dyDescent="0.25">
      <c r="C1000" s="1"/>
    </row>
  </sheetData>
  <pageMargins left="0.75" right="0.75" top="1" bottom="1" header="0" footer="0"/>
  <pageSetup paperSize="9"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zoomScale="100" zoomScaleNormal="100"/>
  </sheetViews>
  <sheetFormatPr defaultRowHeight="15" outlineLevelRow="0" outlineLevelCol="0" x14ac:dyDescent="0" defaultColWidth="11.22"/>
  <cols>
    <col min="1" max="6" width="11.22" customWidth="1"/>
    <col min="8" max="8" width="60" customWidth="1"/>
  </cols>
  <sheetData>
    <row r="1" ht="15" customHeight="1" spans="1:8" x14ac:dyDescent="0.25">
      <c r="A1" s="1" t="s">
        <v>0</v>
      </c>
      <c r="B1" s="1" t="s">
        <v>1</v>
      </c>
      <c r="C1" s="1" t="s">
        <v>2</v>
      </c>
      <c r="D1" s="1" t="s">
        <v>3</v>
      </c>
      <c r="E1" s="1" t="s">
        <v>4</v>
      </c>
      <c r="F1" s="1" t="s">
        <v>5</v>
      </c>
      <c r="G1" s="1" t="s">
        <v>6</v>
      </c>
      <c r="H1" s="1" t="s">
        <v>7</v>
      </c>
    </row>
    <row r="2" ht="15" customHeight="1" spans="1:8" x14ac:dyDescent="0.25">
      <c r="A2" s="1" t="s">
        <v>8</v>
      </c>
      <c r="B2" s="1" t="s">
        <v>9</v>
      </c>
      <c r="C2" s="1" t="s">
        <v>10</v>
      </c>
      <c r="D2" s="1" t="s">
        <v>11</v>
      </c>
      <c r="E2" s="1" t="s">
        <v>12</v>
      </c>
      <c r="F2" s="1" t="s">
        <v>13</v>
      </c>
      <c r="G2" s="1" t="s">
        <v>14</v>
      </c>
      <c r="H2" s="1"/>
    </row>
    <row r="3" ht="15" customHeight="1" spans="1:8" x14ac:dyDescent="0.25">
      <c r="A3" s="1" t="s">
        <v>15</v>
      </c>
      <c r="B3" s="1" t="s">
        <v>16</v>
      </c>
      <c r="C3" s="1" t="s">
        <v>17</v>
      </c>
      <c r="D3" s="1" t="s">
        <v>11</v>
      </c>
      <c r="E3" s="1" t="s">
        <v>12</v>
      </c>
      <c r="F3" s="1" t="s">
        <v>13</v>
      </c>
      <c r="G3" s="1" t="s">
        <v>18</v>
      </c>
      <c r="H3" s="1"/>
    </row>
    <row r="4" ht="15" customHeight="1" spans="1:8" x14ac:dyDescent="0.25">
      <c r="A4" s="1" t="s">
        <v>19</v>
      </c>
      <c r="B4" s="1" t="s">
        <v>20</v>
      </c>
      <c r="C4" s="1" t="s">
        <v>21</v>
      </c>
      <c r="D4" s="1" t="s">
        <v>11</v>
      </c>
      <c r="E4" s="1" t="s">
        <v>12</v>
      </c>
      <c r="F4" s="1" t="s">
        <v>13</v>
      </c>
      <c r="G4" s="1" t="s">
        <v>22</v>
      </c>
      <c r="H4" s="1"/>
    </row>
    <row r="5" ht="15" customHeight="1" spans="1:8" x14ac:dyDescent="0.25">
      <c r="A5" s="1" t="s">
        <v>23</v>
      </c>
      <c r="B5" s="1" t="s">
        <v>24</v>
      </c>
      <c r="C5" s="1" t="s">
        <v>21</v>
      </c>
      <c r="D5" s="1" t="s">
        <v>11</v>
      </c>
      <c r="E5" s="1" t="s">
        <v>12</v>
      </c>
      <c r="F5" s="1" t="s">
        <v>13</v>
      </c>
      <c r="G5" s="1" t="s">
        <v>25</v>
      </c>
      <c r="H5" s="1"/>
    </row>
    <row r="6" ht="15" customHeight="1" spans="1:8" x14ac:dyDescent="0.25">
      <c r="A6" s="1" t="s">
        <v>26</v>
      </c>
      <c r="B6" s="1" t="s">
        <v>27</v>
      </c>
      <c r="C6" s="1" t="s">
        <v>28</v>
      </c>
      <c r="D6" s="1" t="s">
        <v>11</v>
      </c>
      <c r="E6" s="1" t="s">
        <v>12</v>
      </c>
      <c r="F6" s="1" t="s">
        <v>13</v>
      </c>
      <c r="G6" s="1" t="s">
        <v>29</v>
      </c>
      <c r="H6" s="1"/>
    </row>
    <row r="7" ht="15" customHeight="1" spans="1:8" x14ac:dyDescent="0.25">
      <c r="A7" s="1" t="s">
        <v>30</v>
      </c>
      <c r="B7" s="1" t="s">
        <v>31</v>
      </c>
      <c r="C7" s="1" t="s">
        <v>32</v>
      </c>
      <c r="D7" s="1" t="s">
        <v>11</v>
      </c>
      <c r="E7" s="1" t="s">
        <v>12</v>
      </c>
      <c r="F7" s="1" t="s">
        <v>13</v>
      </c>
      <c r="G7" s="1" t="s">
        <v>33</v>
      </c>
      <c r="H7" s="1" t="s">
        <v>34</v>
      </c>
    </row>
    <row r="8" ht="15" customHeight="1" spans="1:8" x14ac:dyDescent="0.25">
      <c r="A8" s="1" t="s">
        <v>35</v>
      </c>
      <c r="B8" s="1" t="s">
        <v>36</v>
      </c>
      <c r="C8" s="1" t="s">
        <v>37</v>
      </c>
      <c r="D8" s="1" t="s">
        <v>11</v>
      </c>
      <c r="E8" s="1" t="s">
        <v>12</v>
      </c>
      <c r="F8" s="1" t="s">
        <v>13</v>
      </c>
      <c r="G8" s="1" t="s">
        <v>38</v>
      </c>
      <c r="H8" s="1"/>
    </row>
    <row r="9" ht="15" customHeight="1" spans="1:8" x14ac:dyDescent="0.25">
      <c r="A9" s="1" t="s">
        <v>39</v>
      </c>
      <c r="B9" s="1" t="s">
        <v>40</v>
      </c>
      <c r="C9" s="1" t="s">
        <v>37</v>
      </c>
      <c r="D9" s="1" t="s">
        <v>11</v>
      </c>
      <c r="E9" s="1" t="s">
        <v>12</v>
      </c>
      <c r="F9" s="1" t="s">
        <v>13</v>
      </c>
      <c r="G9" s="1" t="s">
        <v>41</v>
      </c>
      <c r="H9" s="1" t="s">
        <v>42</v>
      </c>
    </row>
    <row r="10" ht="15" customHeight="1" spans="1:8" x14ac:dyDescent="0.25">
      <c r="A10" s="1" t="s">
        <v>43</v>
      </c>
      <c r="B10" s="1" t="s">
        <v>44</v>
      </c>
      <c r="C10" s="1" t="s">
        <v>45</v>
      </c>
      <c r="D10" s="1" t="s">
        <v>11</v>
      </c>
      <c r="E10" s="1" t="s">
        <v>12</v>
      </c>
      <c r="F10" s="1" t="s">
        <v>13</v>
      </c>
      <c r="G10" s="1" t="s">
        <v>46</v>
      </c>
      <c r="H10" s="1"/>
    </row>
    <row r="11" ht="15" customHeight="1" spans="1:8" x14ac:dyDescent="0.25">
      <c r="A11" s="1" t="s">
        <v>47</v>
      </c>
      <c r="B11" s="1" t="s">
        <v>48</v>
      </c>
      <c r="C11" s="1" t="s">
        <v>45</v>
      </c>
      <c r="D11" s="1" t="s">
        <v>11</v>
      </c>
      <c r="E11" s="1" t="s">
        <v>12</v>
      </c>
      <c r="F11" s="1" t="s">
        <v>13</v>
      </c>
      <c r="G11" s="1" t="s">
        <v>49</v>
      </c>
      <c r="H11" s="1"/>
    </row>
    <row r="12" ht="15" customHeight="1" spans="1:8" x14ac:dyDescent="0.25">
      <c r="A12" s="1" t="s">
        <v>50</v>
      </c>
      <c r="B12" s="1" t="s">
        <v>51</v>
      </c>
      <c r="C12" s="1" t="s">
        <v>52</v>
      </c>
      <c r="D12" s="1" t="s">
        <v>11</v>
      </c>
      <c r="E12" s="1" t="s">
        <v>12</v>
      </c>
      <c r="F12" s="1" t="s">
        <v>13</v>
      </c>
      <c r="G12" s="1" t="s">
        <v>53</v>
      </c>
      <c r="H12" s="1"/>
    </row>
    <row r="13" ht="15" customHeight="1" spans="1:8" x14ac:dyDescent="0.25">
      <c r="A13" s="1" t="s">
        <v>54</v>
      </c>
      <c r="B13" s="1" t="s">
        <v>55</v>
      </c>
      <c r="C13" s="1" t="s">
        <v>52</v>
      </c>
      <c r="D13" s="1" t="s">
        <v>11</v>
      </c>
      <c r="E13" s="1" t="s">
        <v>12</v>
      </c>
      <c r="F13" s="1" t="s">
        <v>13</v>
      </c>
      <c r="G13" s="1" t="s">
        <v>56</v>
      </c>
      <c r="H13" s="1"/>
    </row>
    <row r="14" ht="15" customHeight="1" spans="1:8" x14ac:dyDescent="0.25">
      <c r="A14" s="1" t="s">
        <v>57</v>
      </c>
      <c r="B14" s="1" t="s">
        <v>58</v>
      </c>
      <c r="C14" s="1" t="s">
        <v>59</v>
      </c>
      <c r="D14" s="1" t="s">
        <v>11</v>
      </c>
      <c r="E14" s="1" t="s">
        <v>12</v>
      </c>
      <c r="F14" s="1" t="s">
        <v>13</v>
      </c>
      <c r="G14" s="1" t="s">
        <v>60</v>
      </c>
      <c r="H14" s="1"/>
    </row>
    <row r="15" ht="15" customHeight="1" spans="1:8" x14ac:dyDescent="0.25">
      <c r="A15" s="1" t="s">
        <v>61</v>
      </c>
      <c r="B15" s="1" t="s">
        <v>62</v>
      </c>
      <c r="C15" s="1" t="s">
        <v>63</v>
      </c>
      <c r="D15" s="1" t="s">
        <v>11</v>
      </c>
      <c r="E15" s="1" t="s">
        <v>12</v>
      </c>
      <c r="F15" s="1" t="s">
        <v>13</v>
      </c>
      <c r="G15" s="1" t="s">
        <v>64</v>
      </c>
      <c r="H15" s="1" t="s">
        <v>65</v>
      </c>
    </row>
    <row r="16" ht="15" customHeight="1" spans="1:8" x14ac:dyDescent="0.25">
      <c r="A16" s="1" t="s">
        <v>66</v>
      </c>
      <c r="B16" s="1" t="s">
        <v>67</v>
      </c>
      <c r="C16" s="1" t="s">
        <v>68</v>
      </c>
      <c r="D16" s="1" t="s">
        <v>11</v>
      </c>
      <c r="E16" s="1" t="s">
        <v>12</v>
      </c>
      <c r="F16" s="1" t="s">
        <v>13</v>
      </c>
      <c r="G16" s="1" t="s">
        <v>69</v>
      </c>
      <c r="H16" s="1"/>
    </row>
    <row r="17" ht="15" customHeight="1" spans="1:8" x14ac:dyDescent="0.25">
      <c r="A17" s="1" t="s">
        <v>70</v>
      </c>
      <c r="B17" s="1" t="s">
        <v>71</v>
      </c>
      <c r="C17" s="1" t="s">
        <v>68</v>
      </c>
      <c r="D17" s="1" t="s">
        <v>11</v>
      </c>
      <c r="E17" s="1" t="s">
        <v>12</v>
      </c>
      <c r="F17" s="1" t="s">
        <v>13</v>
      </c>
      <c r="G17" s="1" t="s">
        <v>72</v>
      </c>
      <c r="H17" s="1"/>
    </row>
    <row r="18" ht="15" customHeight="1" spans="1:8" x14ac:dyDescent="0.25">
      <c r="A18" s="1" t="s">
        <v>73</v>
      </c>
      <c r="B18" s="1" t="s">
        <v>74</v>
      </c>
      <c r="C18" s="1" t="s">
        <v>75</v>
      </c>
      <c r="D18" s="1" t="s">
        <v>11</v>
      </c>
      <c r="E18" s="1" t="s">
        <v>12</v>
      </c>
      <c r="F18" s="1" t="s">
        <v>13</v>
      </c>
      <c r="G18" s="1" t="s">
        <v>76</v>
      </c>
      <c r="H18" s="1"/>
    </row>
    <row r="19" ht="15" customHeight="1" spans="1:8" x14ac:dyDescent="0.25">
      <c r="A19" s="1" t="s">
        <v>77</v>
      </c>
      <c r="B19" s="1" t="s">
        <v>78</v>
      </c>
      <c r="C19" s="1" t="s">
        <v>75</v>
      </c>
      <c r="D19" s="1" t="s">
        <v>11</v>
      </c>
      <c r="E19" s="1" t="s">
        <v>12</v>
      </c>
      <c r="F19" s="1" t="s">
        <v>13</v>
      </c>
      <c r="G19" s="1" t="s">
        <v>79</v>
      </c>
      <c r="H19" s="1"/>
    </row>
    <row r="20" ht="15" customHeight="1" spans="1:8" x14ac:dyDescent="0.25">
      <c r="A20" s="1" t="s">
        <v>80</v>
      </c>
      <c r="B20" s="1" t="s">
        <v>81</v>
      </c>
      <c r="C20" s="1" t="s">
        <v>82</v>
      </c>
      <c r="D20" s="1" t="s">
        <v>11</v>
      </c>
      <c r="E20" s="1" t="s">
        <v>12</v>
      </c>
      <c r="F20" s="1" t="s">
        <v>13</v>
      </c>
      <c r="G20" s="1" t="s">
        <v>83</v>
      </c>
      <c r="H20" s="1"/>
    </row>
    <row r="21" ht="15.75" customHeight="1" spans="1:8" x14ac:dyDescent="0.25">
      <c r="A21" s="1" t="s">
        <v>84</v>
      </c>
      <c r="B21" s="1" t="s">
        <v>85</v>
      </c>
      <c r="C21" s="1" t="s">
        <v>21</v>
      </c>
      <c r="D21" s="1" t="s">
        <v>11</v>
      </c>
      <c r="E21" s="1" t="s">
        <v>12</v>
      </c>
      <c r="F21" s="1" t="s">
        <v>13</v>
      </c>
      <c r="G21" s="1" t="s">
        <v>86</v>
      </c>
      <c r="H21" s="1"/>
    </row>
    <row r="22" ht="15.75" customHeight="1" spans="1:8" x14ac:dyDescent="0.25">
      <c r="A22" s="1" t="s">
        <v>87</v>
      </c>
      <c r="B22" s="1" t="s">
        <v>88</v>
      </c>
      <c r="C22" s="1" t="s">
        <v>28</v>
      </c>
      <c r="D22" s="1" t="s">
        <v>11</v>
      </c>
      <c r="E22" s="1" t="s">
        <v>12</v>
      </c>
      <c r="F22" s="1" t="s">
        <v>13</v>
      </c>
      <c r="G22" s="1" t="s">
        <v>89</v>
      </c>
      <c r="H22" s="1"/>
    </row>
    <row r="23" ht="15.75" customHeight="1" spans="1:8" x14ac:dyDescent="0.25">
      <c r="A23" s="1" t="s">
        <v>100</v>
      </c>
      <c r="B23" s="1" t="s">
        <v>101</v>
      </c>
      <c r="C23" s="1" t="s">
        <v>97</v>
      </c>
      <c r="D23" s="1" t="s">
        <v>98</v>
      </c>
      <c r="E23" s="1" t="s">
        <v>12</v>
      </c>
      <c r="F23" s="1" t="s">
        <v>13</v>
      </c>
      <c r="G23" s="1" t="s">
        <v>102</v>
      </c>
      <c r="H23" s="1"/>
    </row>
    <row r="24" ht="15.75" customHeight="1" spans="1:8" x14ac:dyDescent="0.25">
      <c r="A24" s="1" t="s">
        <v>103</v>
      </c>
      <c r="B24" s="1" t="s">
        <v>104</v>
      </c>
      <c r="C24" s="1" t="s">
        <v>105</v>
      </c>
      <c r="D24" s="1" t="s">
        <v>98</v>
      </c>
      <c r="E24" s="1" t="s">
        <v>12</v>
      </c>
      <c r="F24" s="1" t="s">
        <v>13</v>
      </c>
      <c r="G24" s="1" t="s">
        <v>106</v>
      </c>
      <c r="H24" s="1" t="s">
        <v>107</v>
      </c>
    </row>
    <row r="25" ht="15.75" customHeight="1" spans="1:8" x14ac:dyDescent="0.25">
      <c r="A25" s="1" t="s">
        <v>108</v>
      </c>
      <c r="B25" s="1" t="s">
        <v>109</v>
      </c>
      <c r="C25" s="1" t="s">
        <v>110</v>
      </c>
      <c r="D25" s="1" t="s">
        <v>98</v>
      </c>
      <c r="E25" s="1" t="s">
        <v>12</v>
      </c>
      <c r="F25" s="1" t="s">
        <v>13</v>
      </c>
      <c r="G25" s="1" t="s">
        <v>111</v>
      </c>
      <c r="H25" s="1"/>
    </row>
    <row r="26" ht="15.75" customHeight="1" spans="1:8" x14ac:dyDescent="0.25">
      <c r="A26" s="1" t="s">
        <v>112</v>
      </c>
      <c r="B26" s="1" t="s">
        <v>113</v>
      </c>
      <c r="C26" s="1" t="s">
        <v>110</v>
      </c>
      <c r="D26" s="1" t="s">
        <v>98</v>
      </c>
      <c r="E26" s="1" t="s">
        <v>12</v>
      </c>
      <c r="F26" s="1" t="s">
        <v>13</v>
      </c>
      <c r="G26" s="1" t="s">
        <v>114</v>
      </c>
      <c r="H26" s="1"/>
    </row>
    <row r="27" ht="15.75" customHeight="1" spans="1:8" x14ac:dyDescent="0.25">
      <c r="A27" s="1" t="s">
        <v>115</v>
      </c>
      <c r="B27" s="1" t="s">
        <v>116</v>
      </c>
      <c r="C27" s="1" t="s">
        <v>117</v>
      </c>
      <c r="D27" s="1" t="s">
        <v>98</v>
      </c>
      <c r="E27" s="1" t="s">
        <v>12</v>
      </c>
      <c r="F27" s="1" t="s">
        <v>13</v>
      </c>
      <c r="G27" s="1" t="s">
        <v>118</v>
      </c>
      <c r="H27" s="1"/>
    </row>
    <row r="28" ht="15.75" customHeight="1" spans="1:8" x14ac:dyDescent="0.25">
      <c r="A28" s="1" t="s">
        <v>119</v>
      </c>
      <c r="B28" s="1" t="s">
        <v>120</v>
      </c>
      <c r="C28" s="1" t="s">
        <v>117</v>
      </c>
      <c r="D28" s="1" t="s">
        <v>98</v>
      </c>
      <c r="E28" s="1" t="s">
        <v>12</v>
      </c>
      <c r="F28" s="1" t="s">
        <v>13</v>
      </c>
      <c r="G28" s="1" t="s">
        <v>121</v>
      </c>
      <c r="H28" s="1"/>
    </row>
    <row r="29" ht="15.75" customHeight="1" spans="1:8" x14ac:dyDescent="0.25">
      <c r="A29" s="1" t="s">
        <v>122</v>
      </c>
      <c r="B29" s="1" t="s">
        <v>123</v>
      </c>
      <c r="C29" s="1" t="s">
        <v>117</v>
      </c>
      <c r="D29" s="1" t="s">
        <v>98</v>
      </c>
      <c r="E29" s="1" t="s">
        <v>12</v>
      </c>
      <c r="F29" s="1" t="s">
        <v>13</v>
      </c>
      <c r="G29" s="1" t="s">
        <v>124</v>
      </c>
      <c r="H29" s="1"/>
    </row>
    <row r="30" ht="15.75" customHeight="1" spans="1:8" x14ac:dyDescent="0.25">
      <c r="A30" s="1" t="s">
        <v>125</v>
      </c>
      <c r="B30" s="1" t="s">
        <v>126</v>
      </c>
      <c r="C30" s="1" t="s">
        <v>127</v>
      </c>
      <c r="D30" s="1" t="s">
        <v>98</v>
      </c>
      <c r="E30" s="1" t="s">
        <v>12</v>
      </c>
      <c r="F30" s="1" t="s">
        <v>13</v>
      </c>
      <c r="G30" s="1" t="s">
        <v>128</v>
      </c>
      <c r="H30" s="1"/>
    </row>
    <row r="31" ht="15.75" customHeight="1" spans="1:8" x14ac:dyDescent="0.25">
      <c r="A31" s="1" t="s">
        <v>129</v>
      </c>
      <c r="B31" s="1" t="s">
        <v>130</v>
      </c>
      <c r="C31" s="1" t="s">
        <v>127</v>
      </c>
      <c r="D31" s="1" t="s">
        <v>98</v>
      </c>
      <c r="E31" s="1" t="s">
        <v>12</v>
      </c>
      <c r="F31" s="1" t="s">
        <v>13</v>
      </c>
      <c r="G31" s="1" t="s">
        <v>131</v>
      </c>
      <c r="H31" s="1"/>
    </row>
    <row r="32" ht="15.75" customHeight="1" spans="1:8" x14ac:dyDescent="0.25">
      <c r="A32" s="1" t="s">
        <v>132</v>
      </c>
      <c r="B32" s="1" t="s">
        <v>133</v>
      </c>
      <c r="C32" s="1" t="s">
        <v>127</v>
      </c>
      <c r="D32" s="1" t="s">
        <v>98</v>
      </c>
      <c r="E32" s="1" t="s">
        <v>12</v>
      </c>
      <c r="F32" s="1" t="s">
        <v>13</v>
      </c>
      <c r="G32" s="1" t="s">
        <v>128</v>
      </c>
      <c r="H32" s="1"/>
    </row>
    <row r="33" ht="15.75" customHeight="1" spans="1:8" x14ac:dyDescent="0.25">
      <c r="A33" s="1" t="s">
        <v>137</v>
      </c>
      <c r="B33" s="1" t="s">
        <v>138</v>
      </c>
      <c r="C33" s="1" t="s">
        <v>127</v>
      </c>
      <c r="D33" s="1" t="s">
        <v>98</v>
      </c>
      <c r="E33" s="1" t="s">
        <v>12</v>
      </c>
      <c r="F33" s="1" t="s">
        <v>13</v>
      </c>
      <c r="G33" s="1" t="s">
        <v>139</v>
      </c>
      <c r="H33" s="1"/>
    </row>
    <row r="34" ht="15.75" customHeight="1" spans="1:8" x14ac:dyDescent="0.25">
      <c r="A34" s="1" t="s">
        <v>140</v>
      </c>
      <c r="B34" s="1" t="s">
        <v>141</v>
      </c>
      <c r="C34" s="1" t="s">
        <v>10</v>
      </c>
      <c r="D34" s="1" t="s">
        <v>142</v>
      </c>
      <c r="E34" s="1" t="s">
        <v>12</v>
      </c>
      <c r="F34" s="1" t="s">
        <v>13</v>
      </c>
      <c r="G34" s="1" t="s">
        <v>143</v>
      </c>
      <c r="H34" s="1"/>
    </row>
    <row r="35" ht="15.75" customHeight="1" spans="1:8" x14ac:dyDescent="0.25">
      <c r="A35" s="1" t="s">
        <v>144</v>
      </c>
      <c r="B35" s="1" t="s">
        <v>145</v>
      </c>
      <c r="C35" s="1" t="s">
        <v>63</v>
      </c>
      <c r="D35" s="1" t="s">
        <v>98</v>
      </c>
      <c r="E35" s="1" t="s">
        <v>12</v>
      </c>
      <c r="F35" s="1" t="s">
        <v>13</v>
      </c>
      <c r="G35" s="1" t="s">
        <v>146</v>
      </c>
      <c r="H35" s="1"/>
    </row>
    <row r="36" ht="15.75" customHeight="1" spans="1:8" x14ac:dyDescent="0.25">
      <c r="A36" s="1" t="s">
        <v>147</v>
      </c>
      <c r="B36" s="1" t="s">
        <v>148</v>
      </c>
      <c r="C36" s="1" t="s">
        <v>149</v>
      </c>
      <c r="D36" s="1" t="s">
        <v>98</v>
      </c>
      <c r="E36" s="1" t="s">
        <v>12</v>
      </c>
      <c r="F36" s="1" t="s">
        <v>13</v>
      </c>
      <c r="G36" s="1" t="s">
        <v>150</v>
      </c>
      <c r="H36" s="1"/>
    </row>
    <row r="37" ht="15.75" customHeight="1" spans="1:8" x14ac:dyDescent="0.25">
      <c r="A37" s="1" t="s">
        <v>151</v>
      </c>
      <c r="B37" s="1" t="s">
        <v>152</v>
      </c>
      <c r="C37" s="1" t="s">
        <v>153</v>
      </c>
      <c r="D37" s="1" t="s">
        <v>98</v>
      </c>
      <c r="E37" s="1" t="s">
        <v>12</v>
      </c>
      <c r="F37" s="1" t="s">
        <v>13</v>
      </c>
      <c r="G37" s="1" t="s">
        <v>154</v>
      </c>
      <c r="H37" s="1" t="s">
        <v>155</v>
      </c>
    </row>
    <row r="38" ht="15.75" customHeight="1" spans="1:8" x14ac:dyDescent="0.25">
      <c r="A38" s="1" t="s">
        <v>156</v>
      </c>
      <c r="B38" s="1" t="s">
        <v>157</v>
      </c>
      <c r="C38" s="1" t="s">
        <v>153</v>
      </c>
      <c r="D38" s="1" t="s">
        <v>98</v>
      </c>
      <c r="E38" s="1" t="s">
        <v>12</v>
      </c>
      <c r="F38" s="1" t="s">
        <v>13</v>
      </c>
      <c r="G38" s="1" t="s">
        <v>158</v>
      </c>
      <c r="H38" s="1" t="s">
        <v>159</v>
      </c>
    </row>
    <row r="39" ht="15.75" customHeight="1" spans="1:8" x14ac:dyDescent="0.25">
      <c r="A39" s="1" t="s">
        <v>160</v>
      </c>
      <c r="B39" s="1" t="s">
        <v>161</v>
      </c>
      <c r="C39" s="1" t="s">
        <v>153</v>
      </c>
      <c r="D39" s="1" t="s">
        <v>98</v>
      </c>
      <c r="E39" s="1" t="s">
        <v>12</v>
      </c>
      <c r="F39" s="1" t="s">
        <v>13</v>
      </c>
      <c r="G39" s="1" t="s">
        <v>162</v>
      </c>
      <c r="H39" s="1"/>
    </row>
    <row r="40" ht="15.75" customHeight="1" spans="1:8" x14ac:dyDescent="0.25">
      <c r="A40" s="1" t="s">
        <v>163</v>
      </c>
      <c r="B40" s="1" t="s">
        <v>164</v>
      </c>
      <c r="C40" s="1" t="s">
        <v>165</v>
      </c>
      <c r="D40" s="1" t="s">
        <v>98</v>
      </c>
      <c r="E40" s="1" t="s">
        <v>12</v>
      </c>
      <c r="F40" s="1" t="s">
        <v>13</v>
      </c>
      <c r="G40" s="1" t="s">
        <v>166</v>
      </c>
      <c r="H40" s="1"/>
    </row>
    <row r="41" ht="15.75" customHeight="1" spans="1:8" x14ac:dyDescent="0.25">
      <c r="A41" s="1" t="s">
        <v>167</v>
      </c>
      <c r="B41" s="1" t="s">
        <v>168</v>
      </c>
      <c r="C41" s="1" t="s">
        <v>165</v>
      </c>
      <c r="D41" s="1" t="s">
        <v>98</v>
      </c>
      <c r="E41" s="1" t="s">
        <v>12</v>
      </c>
      <c r="F41" s="1" t="s">
        <v>13</v>
      </c>
      <c r="G41" s="1" t="s">
        <v>169</v>
      </c>
      <c r="H41" s="1"/>
    </row>
    <row r="42" ht="15.75" customHeight="1" spans="1:8" x14ac:dyDescent="0.25">
      <c r="A42" s="1" t="s">
        <v>170</v>
      </c>
      <c r="B42" s="1" t="s">
        <v>171</v>
      </c>
      <c r="C42" s="1" t="s">
        <v>153</v>
      </c>
      <c r="D42" s="1" t="s">
        <v>98</v>
      </c>
      <c r="E42" s="1" t="s">
        <v>12</v>
      </c>
      <c r="F42" s="1" t="s">
        <v>13</v>
      </c>
      <c r="G42" s="1" t="s">
        <v>172</v>
      </c>
      <c r="H42" s="1"/>
    </row>
    <row r="43" ht="15.75" customHeight="1" spans="1:8" x14ac:dyDescent="0.25">
      <c r="A43" s="1" t="s">
        <v>173</v>
      </c>
      <c r="B43" s="1" t="s">
        <v>174</v>
      </c>
      <c r="C43" s="1" t="s">
        <v>110</v>
      </c>
      <c r="D43" s="1" t="s">
        <v>98</v>
      </c>
      <c r="E43" s="1" t="s">
        <v>12</v>
      </c>
      <c r="F43" s="1" t="s">
        <v>13</v>
      </c>
      <c r="G43" s="1" t="s">
        <v>175</v>
      </c>
      <c r="H43" s="1"/>
    </row>
    <row r="44" ht="15.75" customHeight="1" spans="1:8" x14ac:dyDescent="0.25">
      <c r="A44" s="1" t="s">
        <v>178</v>
      </c>
      <c r="B44" s="1" t="s">
        <v>179</v>
      </c>
      <c r="C44" s="1" t="s">
        <v>63</v>
      </c>
      <c r="D44" s="1" t="s">
        <v>98</v>
      </c>
      <c r="E44" s="1" t="s">
        <v>12</v>
      </c>
      <c r="F44" s="1" t="s">
        <v>13</v>
      </c>
      <c r="G44" s="1" t="s">
        <v>180</v>
      </c>
      <c r="H44" s="1"/>
    </row>
    <row r="45" ht="15.75" customHeight="1" spans="1:8" x14ac:dyDescent="0.25">
      <c r="A45" s="1" t="s">
        <v>181</v>
      </c>
      <c r="B45" s="1" t="s">
        <v>182</v>
      </c>
      <c r="C45" s="1" t="s">
        <v>105</v>
      </c>
      <c r="D45" s="1" t="s">
        <v>98</v>
      </c>
      <c r="E45" s="1" t="s">
        <v>12</v>
      </c>
      <c r="F45" s="1" t="s">
        <v>13</v>
      </c>
      <c r="G45" s="1" t="s">
        <v>183</v>
      </c>
      <c r="H45" s="1"/>
    </row>
    <row r="46" ht="15.75" customHeight="1" spans="1:8" x14ac:dyDescent="0.25">
      <c r="A46" s="1" t="s">
        <v>184</v>
      </c>
      <c r="B46" s="1" t="s">
        <v>185</v>
      </c>
      <c r="C46" s="1" t="s">
        <v>186</v>
      </c>
      <c r="D46" s="1" t="s">
        <v>98</v>
      </c>
      <c r="E46" s="1" t="s">
        <v>12</v>
      </c>
      <c r="F46" s="1" t="s">
        <v>13</v>
      </c>
      <c r="G46" s="1" t="s">
        <v>187</v>
      </c>
      <c r="H46" s="1"/>
    </row>
    <row r="47" ht="15.75" customHeight="1" spans="1:8" x14ac:dyDescent="0.25">
      <c r="A47" s="1" t="s">
        <v>188</v>
      </c>
      <c r="B47" s="1" t="s">
        <v>189</v>
      </c>
      <c r="C47" s="1" t="s">
        <v>186</v>
      </c>
      <c r="D47" s="1" t="s">
        <v>98</v>
      </c>
      <c r="E47" s="1" t="s">
        <v>12</v>
      </c>
      <c r="F47" s="1" t="s">
        <v>13</v>
      </c>
      <c r="G47" s="1" t="s">
        <v>190</v>
      </c>
      <c r="H47" s="1"/>
    </row>
    <row r="48" ht="15.75" customHeight="1" spans="1:8" x14ac:dyDescent="0.25">
      <c r="A48" s="1" t="s">
        <v>194</v>
      </c>
      <c r="B48" s="1" t="s">
        <v>195</v>
      </c>
      <c r="C48" s="1" t="s">
        <v>186</v>
      </c>
      <c r="D48" s="1" t="s">
        <v>98</v>
      </c>
      <c r="E48" s="1" t="s">
        <v>12</v>
      </c>
      <c r="F48" s="1" t="s">
        <v>13</v>
      </c>
      <c r="G48" s="1" t="s">
        <v>196</v>
      </c>
      <c r="H48" s="1"/>
    </row>
    <row r="49" ht="15.75" customHeight="1" spans="1:8" x14ac:dyDescent="0.25">
      <c r="A49" s="1" t="s">
        <v>197</v>
      </c>
      <c r="B49" s="1" t="s">
        <v>198</v>
      </c>
      <c r="C49" s="1" t="s">
        <v>10</v>
      </c>
      <c r="D49" s="1" t="s">
        <v>142</v>
      </c>
      <c r="E49" s="1" t="s">
        <v>12</v>
      </c>
      <c r="F49" s="1" t="s">
        <v>13</v>
      </c>
      <c r="G49" s="1" t="s">
        <v>199</v>
      </c>
      <c r="H49" s="1" t="s">
        <v>42</v>
      </c>
    </row>
    <row r="50" ht="15.75" customHeight="1" spans="1:8" x14ac:dyDescent="0.25">
      <c r="A50" s="1" t="s">
        <v>200</v>
      </c>
      <c r="B50" s="1" t="s">
        <v>201</v>
      </c>
      <c r="C50" s="1" t="s">
        <v>186</v>
      </c>
      <c r="D50" s="1" t="s">
        <v>98</v>
      </c>
      <c r="E50" s="1" t="s">
        <v>12</v>
      </c>
      <c r="F50" s="1" t="s">
        <v>13</v>
      </c>
      <c r="G50" s="1" t="s">
        <v>202</v>
      </c>
      <c r="H50" s="1"/>
    </row>
    <row r="51" ht="15.75" customHeight="1" spans="1:8" x14ac:dyDescent="0.25">
      <c r="A51" s="1" t="s">
        <v>203</v>
      </c>
      <c r="B51" s="1" t="s">
        <v>204</v>
      </c>
      <c r="C51" s="1" t="s">
        <v>186</v>
      </c>
      <c r="D51" s="1" t="s">
        <v>98</v>
      </c>
      <c r="E51" s="1" t="s">
        <v>12</v>
      </c>
      <c r="F51" s="1" t="s">
        <v>13</v>
      </c>
      <c r="G51" s="1" t="s">
        <v>205</v>
      </c>
      <c r="H51" s="1"/>
    </row>
    <row r="52" ht="15.75" customHeight="1" spans="1:8" x14ac:dyDescent="0.25">
      <c r="A52" s="1" t="s">
        <v>209</v>
      </c>
      <c r="B52" s="1" t="s">
        <v>210</v>
      </c>
      <c r="C52" s="1" t="s">
        <v>186</v>
      </c>
      <c r="D52" s="1" t="s">
        <v>98</v>
      </c>
      <c r="E52" s="1" t="s">
        <v>12</v>
      </c>
      <c r="F52" s="1" t="s">
        <v>13</v>
      </c>
      <c r="G52" s="1" t="s">
        <v>211</v>
      </c>
      <c r="H52" s="1"/>
    </row>
    <row r="53" ht="15.75" customHeight="1" spans="1:8" x14ac:dyDescent="0.25">
      <c r="A53" s="1" t="s">
        <v>212</v>
      </c>
      <c r="B53" s="1" t="s">
        <v>213</v>
      </c>
      <c r="C53" s="1" t="s">
        <v>10</v>
      </c>
      <c r="D53" s="1" t="s">
        <v>142</v>
      </c>
      <c r="E53" s="1" t="s">
        <v>12</v>
      </c>
      <c r="F53" s="1" t="s">
        <v>13</v>
      </c>
      <c r="G53" s="1" t="s">
        <v>214</v>
      </c>
      <c r="H53" s="1"/>
    </row>
    <row r="54" ht="15.75" customHeight="1" spans="1:8" x14ac:dyDescent="0.25">
      <c r="A54" s="1" t="s">
        <v>215</v>
      </c>
      <c r="B54" s="1" t="s">
        <v>216</v>
      </c>
      <c r="C54" s="1" t="s">
        <v>165</v>
      </c>
      <c r="D54" s="1" t="s">
        <v>98</v>
      </c>
      <c r="E54" s="1" t="s">
        <v>12</v>
      </c>
      <c r="F54" s="1" t="s">
        <v>13</v>
      </c>
      <c r="G54" s="1" t="s">
        <v>217</v>
      </c>
      <c r="H54" s="1" t="s">
        <v>218</v>
      </c>
    </row>
    <row r="55" ht="15.75" customHeight="1" spans="1:8" x14ac:dyDescent="0.25">
      <c r="A55" s="1" t="s">
        <v>219</v>
      </c>
      <c r="B55" s="1" t="s">
        <v>220</v>
      </c>
      <c r="C55" s="1" t="s">
        <v>165</v>
      </c>
      <c r="D55" s="1" t="s">
        <v>98</v>
      </c>
      <c r="E55" s="1" t="s">
        <v>12</v>
      </c>
      <c r="F55" s="1" t="s">
        <v>13</v>
      </c>
      <c r="G55" s="1" t="s">
        <v>221</v>
      </c>
      <c r="H55" s="1"/>
    </row>
    <row r="56" ht="15.75" customHeight="1" spans="1:8" x14ac:dyDescent="0.25">
      <c r="A56" s="1" t="s">
        <v>222</v>
      </c>
      <c r="B56" s="1" t="s">
        <v>223</v>
      </c>
      <c r="C56" s="1" t="s">
        <v>186</v>
      </c>
      <c r="D56" s="1" t="s">
        <v>98</v>
      </c>
      <c r="E56" s="1" t="s">
        <v>12</v>
      </c>
      <c r="F56" s="1" t="s">
        <v>13</v>
      </c>
      <c r="G56" s="1" t="s">
        <v>224</v>
      </c>
      <c r="H56" s="1"/>
    </row>
    <row r="57" ht="15.75" customHeight="1" spans="1:8" x14ac:dyDescent="0.25">
      <c r="A57" s="1" t="s">
        <v>225</v>
      </c>
      <c r="B57" s="1" t="s">
        <v>226</v>
      </c>
      <c r="C57" s="1" t="s">
        <v>186</v>
      </c>
      <c r="D57" s="1" t="s">
        <v>98</v>
      </c>
      <c r="E57" s="1" t="s">
        <v>12</v>
      </c>
      <c r="F57" s="1" t="s">
        <v>13</v>
      </c>
      <c r="G57" s="1" t="s">
        <v>227</v>
      </c>
      <c r="H57" s="1"/>
    </row>
    <row r="58" ht="15.75" customHeight="1" spans="1:8" x14ac:dyDescent="0.25">
      <c r="A58" s="1" t="s">
        <v>228</v>
      </c>
      <c r="B58" s="1" t="s">
        <v>229</v>
      </c>
      <c r="C58" s="1" t="s">
        <v>186</v>
      </c>
      <c r="D58" s="1" t="s">
        <v>98</v>
      </c>
      <c r="E58" s="1" t="s">
        <v>12</v>
      </c>
      <c r="F58" s="1" t="s">
        <v>13</v>
      </c>
      <c r="G58" s="1" t="s">
        <v>230</v>
      </c>
      <c r="H58" s="1"/>
    </row>
    <row r="59" ht="15.75" customHeight="1" spans="1:8" x14ac:dyDescent="0.25">
      <c r="A59" s="1" t="s">
        <v>231</v>
      </c>
      <c r="B59" s="1" t="s">
        <v>232</v>
      </c>
      <c r="C59" s="1" t="s">
        <v>63</v>
      </c>
      <c r="D59" s="1" t="s">
        <v>98</v>
      </c>
      <c r="E59" s="1" t="s">
        <v>12</v>
      </c>
      <c r="F59" s="1" t="s">
        <v>13</v>
      </c>
      <c r="G59" s="1" t="s">
        <v>233</v>
      </c>
      <c r="H59" s="1"/>
    </row>
    <row r="60" ht="15.75" customHeight="1" spans="1:8" x14ac:dyDescent="0.25">
      <c r="A60" s="1" t="s">
        <v>234</v>
      </c>
      <c r="B60" s="1" t="s">
        <v>235</v>
      </c>
      <c r="C60" s="1" t="s">
        <v>63</v>
      </c>
      <c r="D60" s="1" t="s">
        <v>98</v>
      </c>
      <c r="E60" s="1" t="s">
        <v>12</v>
      </c>
      <c r="F60" s="1" t="s">
        <v>13</v>
      </c>
      <c r="G60" s="1" t="s">
        <v>236</v>
      </c>
      <c r="H60" s="1"/>
    </row>
    <row r="61" ht="15.75" customHeight="1" spans="1:8" x14ac:dyDescent="0.25">
      <c r="A61" s="1" t="s">
        <v>237</v>
      </c>
      <c r="B61" s="1" t="s">
        <v>238</v>
      </c>
      <c r="C61" s="1" t="s">
        <v>165</v>
      </c>
      <c r="D61" s="1" t="s">
        <v>98</v>
      </c>
      <c r="E61" s="1" t="s">
        <v>12</v>
      </c>
      <c r="F61" s="1" t="s">
        <v>13</v>
      </c>
      <c r="G61" s="1" t="s">
        <v>239</v>
      </c>
      <c r="H61" s="1"/>
    </row>
    <row r="62" ht="15.75" customHeight="1" spans="1:8" x14ac:dyDescent="0.25">
      <c r="A62" s="1" t="s">
        <v>240</v>
      </c>
      <c r="B62" s="1" t="s">
        <v>241</v>
      </c>
      <c r="C62" s="1" t="s">
        <v>165</v>
      </c>
      <c r="D62" s="1" t="s">
        <v>98</v>
      </c>
      <c r="E62" s="1" t="s">
        <v>12</v>
      </c>
      <c r="F62" s="1" t="s">
        <v>13</v>
      </c>
      <c r="G62" s="1" t="s">
        <v>242</v>
      </c>
      <c r="H62" s="1"/>
    </row>
    <row r="63" ht="15.75" customHeight="1" spans="1:8" x14ac:dyDescent="0.25">
      <c r="A63" s="1" t="s">
        <v>243</v>
      </c>
      <c r="B63" s="1" t="s">
        <v>244</v>
      </c>
      <c r="C63" s="1" t="s">
        <v>186</v>
      </c>
      <c r="D63" s="1" t="s">
        <v>98</v>
      </c>
      <c r="E63" s="1" t="s">
        <v>12</v>
      </c>
      <c r="F63" s="1" t="s">
        <v>13</v>
      </c>
      <c r="G63" s="1" t="s">
        <v>245</v>
      </c>
      <c r="H63" s="1"/>
    </row>
    <row r="64" ht="15.75" customHeight="1" spans="1:8" x14ac:dyDescent="0.25">
      <c r="A64" s="1" t="s">
        <v>246</v>
      </c>
      <c r="B64" s="1" t="s">
        <v>247</v>
      </c>
      <c r="C64" s="1" t="s">
        <v>10</v>
      </c>
      <c r="D64" s="1" t="s">
        <v>142</v>
      </c>
      <c r="E64" s="1" t="s">
        <v>12</v>
      </c>
      <c r="F64" s="1" t="s">
        <v>13</v>
      </c>
      <c r="G64" s="1" t="s">
        <v>248</v>
      </c>
      <c r="H64" s="1"/>
    </row>
    <row r="65" ht="15.75" customHeight="1" spans="1:8" x14ac:dyDescent="0.25">
      <c r="A65" s="1" t="s">
        <v>249</v>
      </c>
      <c r="B65" s="1" t="s">
        <v>250</v>
      </c>
      <c r="C65" s="1" t="s">
        <v>186</v>
      </c>
      <c r="D65" s="1" t="s">
        <v>98</v>
      </c>
      <c r="E65" s="1" t="s">
        <v>12</v>
      </c>
      <c r="F65" s="1" t="s">
        <v>13</v>
      </c>
      <c r="G65" s="1" t="s">
        <v>251</v>
      </c>
      <c r="H65" s="1"/>
    </row>
    <row r="66" ht="15.75" customHeight="1" spans="1:8" x14ac:dyDescent="0.25">
      <c r="A66" s="1" t="s">
        <v>252</v>
      </c>
      <c r="B66" s="1" t="s">
        <v>253</v>
      </c>
      <c r="C66" s="1" t="s">
        <v>165</v>
      </c>
      <c r="D66" s="1" t="s">
        <v>98</v>
      </c>
      <c r="E66" s="1" t="s">
        <v>12</v>
      </c>
      <c r="F66" s="1" t="s">
        <v>13</v>
      </c>
      <c r="G66" s="1" t="s">
        <v>254</v>
      </c>
      <c r="H66" s="1"/>
    </row>
    <row r="67" ht="15.75" customHeight="1" spans="1:8" x14ac:dyDescent="0.25">
      <c r="A67" s="1" t="s">
        <v>255</v>
      </c>
      <c r="B67" s="1" t="s">
        <v>256</v>
      </c>
      <c r="C67" s="1" t="s">
        <v>186</v>
      </c>
      <c r="D67" s="1" t="s">
        <v>98</v>
      </c>
      <c r="E67" s="1" t="s">
        <v>12</v>
      </c>
      <c r="F67" s="1" t="s">
        <v>13</v>
      </c>
      <c r="G67" s="1" t="s">
        <v>257</v>
      </c>
      <c r="H67" s="1"/>
    </row>
    <row r="68" ht="15.75" customHeight="1" spans="1:8" x14ac:dyDescent="0.25">
      <c r="A68" s="1" t="s">
        <v>258</v>
      </c>
      <c r="B68" s="1" t="s">
        <v>259</v>
      </c>
      <c r="C68" s="1" t="s">
        <v>10</v>
      </c>
      <c r="D68" s="1" t="s">
        <v>142</v>
      </c>
      <c r="E68" s="1" t="s">
        <v>12</v>
      </c>
      <c r="F68" s="1" t="s">
        <v>13</v>
      </c>
      <c r="G68" s="1" t="s">
        <v>260</v>
      </c>
      <c r="H68" s="1"/>
    </row>
    <row r="69" ht="15.75" customHeight="1" spans="1:8" x14ac:dyDescent="0.25">
      <c r="A69" s="1" t="s">
        <v>270</v>
      </c>
      <c r="B69" s="1" t="s">
        <v>271</v>
      </c>
      <c r="C69" s="1" t="s">
        <v>266</v>
      </c>
      <c r="D69" s="1" t="s">
        <v>98</v>
      </c>
      <c r="E69" s="1" t="s">
        <v>12</v>
      </c>
      <c r="F69" s="1" t="s">
        <v>13</v>
      </c>
      <c r="G69" s="1" t="s">
        <v>272</v>
      </c>
      <c r="H69" s="1"/>
    </row>
    <row r="70" ht="15.75" customHeight="1" spans="1:8" x14ac:dyDescent="0.25">
      <c r="A70" s="1" t="s">
        <v>273</v>
      </c>
      <c r="B70" s="1" t="s">
        <v>274</v>
      </c>
      <c r="C70" s="1" t="s">
        <v>266</v>
      </c>
      <c r="D70" s="1" t="s">
        <v>98</v>
      </c>
      <c r="E70" s="1" t="s">
        <v>12</v>
      </c>
      <c r="F70" s="1" t="s">
        <v>13</v>
      </c>
      <c r="G70" s="1" t="s">
        <v>275</v>
      </c>
      <c r="H70" s="1"/>
    </row>
    <row r="71" ht="15.75" customHeight="1" spans="1:8" x14ac:dyDescent="0.25">
      <c r="A71" s="1" t="s">
        <v>276</v>
      </c>
      <c r="B71" s="1" t="s">
        <v>277</v>
      </c>
      <c r="C71" s="1" t="s">
        <v>97</v>
      </c>
      <c r="D71" s="1" t="s">
        <v>98</v>
      </c>
      <c r="E71" s="1" t="s">
        <v>12</v>
      </c>
      <c r="F71" s="1" t="s">
        <v>13</v>
      </c>
      <c r="G71" s="1" t="s">
        <v>278</v>
      </c>
      <c r="H71" s="1"/>
    </row>
    <row r="72" ht="15.75" customHeight="1" spans="1:8" x14ac:dyDescent="0.25">
      <c r="A72" s="1" t="s">
        <v>279</v>
      </c>
      <c r="B72" s="1" t="s">
        <v>280</v>
      </c>
      <c r="C72" s="1" t="s">
        <v>59</v>
      </c>
      <c r="D72" s="1" t="s">
        <v>98</v>
      </c>
      <c r="E72" s="1" t="s">
        <v>12</v>
      </c>
      <c r="F72" s="1" t="s">
        <v>13</v>
      </c>
      <c r="G72" s="1" t="s">
        <v>281</v>
      </c>
      <c r="H72" s="1"/>
    </row>
    <row r="73" ht="15.75" customHeight="1" spans="1:8" x14ac:dyDescent="0.25">
      <c r="A73" s="1" t="s">
        <v>282</v>
      </c>
      <c r="B73" s="1" t="s">
        <v>283</v>
      </c>
      <c r="C73" s="1" t="s">
        <v>59</v>
      </c>
      <c r="D73" s="1" t="s">
        <v>98</v>
      </c>
      <c r="E73" s="1" t="s">
        <v>12</v>
      </c>
      <c r="F73" s="1" t="s">
        <v>13</v>
      </c>
      <c r="G73" s="1" t="s">
        <v>284</v>
      </c>
      <c r="H73" s="1"/>
    </row>
    <row r="74" ht="15.75" customHeight="1" spans="1:8" x14ac:dyDescent="0.25">
      <c r="A74" s="1" t="s">
        <v>288</v>
      </c>
      <c r="B74" s="1" t="s">
        <v>289</v>
      </c>
      <c r="C74" s="1" t="s">
        <v>10</v>
      </c>
      <c r="D74" s="1" t="s">
        <v>142</v>
      </c>
      <c r="E74" s="1" t="s">
        <v>12</v>
      </c>
      <c r="F74" s="1" t="s">
        <v>13</v>
      </c>
      <c r="G74" s="1" t="s">
        <v>290</v>
      </c>
      <c r="H74" s="1"/>
    </row>
    <row r="75" ht="15.75" customHeight="1" spans="1:8" x14ac:dyDescent="0.25">
      <c r="A75" s="1" t="s">
        <v>291</v>
      </c>
      <c r="B75" s="1" t="s">
        <v>292</v>
      </c>
      <c r="C75" s="1" t="s">
        <v>63</v>
      </c>
      <c r="D75" s="1" t="s">
        <v>98</v>
      </c>
      <c r="E75" s="1" t="s">
        <v>12</v>
      </c>
      <c r="F75" s="1" t="s">
        <v>13</v>
      </c>
      <c r="G75" s="1" t="s">
        <v>293</v>
      </c>
      <c r="H75" s="1"/>
    </row>
    <row r="76" ht="15.75" customHeight="1" spans="1:8" x14ac:dyDescent="0.25">
      <c r="A76" s="1" t="s">
        <v>294</v>
      </c>
      <c r="B76" s="1" t="s">
        <v>295</v>
      </c>
      <c r="C76" s="1" t="s">
        <v>63</v>
      </c>
      <c r="D76" s="1" t="s">
        <v>98</v>
      </c>
      <c r="E76" s="1" t="s">
        <v>12</v>
      </c>
      <c r="F76" s="1" t="s">
        <v>13</v>
      </c>
      <c r="G76" s="1" t="s">
        <v>296</v>
      </c>
      <c r="H76" s="1"/>
    </row>
    <row r="77" ht="15.75" customHeight="1" spans="1:8" x14ac:dyDescent="0.25">
      <c r="A77" s="1" t="s">
        <v>297</v>
      </c>
      <c r="B77" s="1" t="s">
        <v>298</v>
      </c>
      <c r="C77" s="1" t="s">
        <v>165</v>
      </c>
      <c r="D77" s="1" t="s">
        <v>98</v>
      </c>
      <c r="E77" s="1" t="s">
        <v>12</v>
      </c>
      <c r="F77" s="1" t="s">
        <v>13</v>
      </c>
      <c r="G77" s="1" t="s">
        <v>299</v>
      </c>
      <c r="H77" s="1"/>
    </row>
    <row r="78" ht="15.75" customHeight="1" spans="1:8" x14ac:dyDescent="0.25">
      <c r="A78" s="1" t="s">
        <v>300</v>
      </c>
      <c r="B78" s="1" t="s">
        <v>301</v>
      </c>
      <c r="C78" s="1" t="s">
        <v>165</v>
      </c>
      <c r="D78" s="1" t="s">
        <v>98</v>
      </c>
      <c r="E78" s="1" t="s">
        <v>12</v>
      </c>
      <c r="F78" s="1" t="s">
        <v>13</v>
      </c>
      <c r="G78" s="1" t="s">
        <v>302</v>
      </c>
      <c r="H78" s="1" t="s">
        <v>303</v>
      </c>
    </row>
    <row r="79" ht="15.75" customHeight="1" spans="1:8" x14ac:dyDescent="0.25">
      <c r="A79" s="1" t="s">
        <v>304</v>
      </c>
      <c r="B79" s="1" t="s">
        <v>305</v>
      </c>
      <c r="C79" s="1" t="s">
        <v>153</v>
      </c>
      <c r="D79" s="1" t="s">
        <v>98</v>
      </c>
      <c r="E79" s="1" t="s">
        <v>12</v>
      </c>
      <c r="F79" s="1" t="s">
        <v>13</v>
      </c>
      <c r="G79" s="1" t="s">
        <v>306</v>
      </c>
      <c r="H79" s="1"/>
    </row>
    <row r="80" ht="15.75" customHeight="1" spans="1:8" x14ac:dyDescent="0.25">
      <c r="A80" s="1" t="s">
        <v>307</v>
      </c>
      <c r="B80" s="1" t="s">
        <v>308</v>
      </c>
      <c r="C80" s="1" t="s">
        <v>127</v>
      </c>
      <c r="D80" s="1" t="s">
        <v>98</v>
      </c>
      <c r="E80" s="1" t="s">
        <v>12</v>
      </c>
      <c r="F80" s="1" t="s">
        <v>13</v>
      </c>
      <c r="G80" s="1" t="s">
        <v>309</v>
      </c>
      <c r="H80" s="1"/>
    </row>
    <row r="81" ht="15.75" customHeight="1" spans="1:8" x14ac:dyDescent="0.25">
      <c r="A81" s="1" t="s">
        <v>310</v>
      </c>
      <c r="B81" s="1" t="s">
        <v>311</v>
      </c>
      <c r="C81" s="1" t="s">
        <v>312</v>
      </c>
      <c r="D81" s="1" t="s">
        <v>98</v>
      </c>
      <c r="E81" s="1" t="s">
        <v>12</v>
      </c>
      <c r="F81" s="1" t="s">
        <v>13</v>
      </c>
      <c r="G81" s="1" t="s">
        <v>313</v>
      </c>
      <c r="H81" s="1"/>
    </row>
    <row r="82" ht="15.75" customHeight="1" spans="1:8" x14ac:dyDescent="0.25">
      <c r="A82" s="1" t="s">
        <v>314</v>
      </c>
      <c r="B82" s="1" t="s">
        <v>315</v>
      </c>
      <c r="C82" s="1" t="s">
        <v>127</v>
      </c>
      <c r="D82" s="1" t="s">
        <v>98</v>
      </c>
      <c r="E82" s="1" t="s">
        <v>12</v>
      </c>
      <c r="F82" s="1" t="s">
        <v>13</v>
      </c>
      <c r="G82" s="1" t="s">
        <v>316</v>
      </c>
      <c r="H82" s="1"/>
    </row>
    <row r="83" ht="15.75" customHeight="1" spans="1:8" x14ac:dyDescent="0.25">
      <c r="A83" s="1" t="s">
        <v>327</v>
      </c>
      <c r="B83" s="1" t="s">
        <v>328</v>
      </c>
      <c r="C83" s="1" t="s">
        <v>269</v>
      </c>
      <c r="D83" s="1" t="s">
        <v>98</v>
      </c>
      <c r="E83" s="1" t="s">
        <v>12</v>
      </c>
      <c r="F83" s="1" t="s">
        <v>13</v>
      </c>
      <c r="G83" s="1" t="s">
        <v>329</v>
      </c>
      <c r="H83" s="1"/>
    </row>
    <row r="84" ht="15.75" customHeight="1" spans="1:8" x14ac:dyDescent="0.25">
      <c r="A84" s="1" t="s">
        <v>346</v>
      </c>
      <c r="B84" s="1" t="s">
        <v>347</v>
      </c>
      <c r="C84" s="1" t="s">
        <v>28</v>
      </c>
      <c r="D84" s="1" t="s">
        <v>98</v>
      </c>
      <c r="E84" s="1" t="s">
        <v>12</v>
      </c>
      <c r="F84" s="1" t="s">
        <v>13</v>
      </c>
      <c r="G84" s="1" t="s">
        <v>348</v>
      </c>
      <c r="H84" s="1"/>
    </row>
    <row r="85" ht="15.75" customHeight="1" spans="1:8" x14ac:dyDescent="0.25">
      <c r="A85" s="1" t="s">
        <v>349</v>
      </c>
      <c r="B85" s="1" t="s">
        <v>350</v>
      </c>
      <c r="C85" s="1" t="s">
        <v>28</v>
      </c>
      <c r="D85" s="1" t="s">
        <v>98</v>
      </c>
      <c r="E85" s="1" t="s">
        <v>12</v>
      </c>
      <c r="F85" s="1" t="s">
        <v>13</v>
      </c>
      <c r="G85" s="1" t="s">
        <v>351</v>
      </c>
      <c r="H85" s="1"/>
    </row>
    <row r="86" ht="15.75" customHeight="1" spans="1:8" x14ac:dyDescent="0.25">
      <c r="A86" s="1" t="s">
        <v>352</v>
      </c>
      <c r="B86" s="1" t="s">
        <v>353</v>
      </c>
      <c r="C86" s="1" t="s">
        <v>28</v>
      </c>
      <c r="D86" s="1" t="s">
        <v>98</v>
      </c>
      <c r="E86" s="1" t="s">
        <v>12</v>
      </c>
      <c r="F86" s="1" t="s">
        <v>13</v>
      </c>
      <c r="G86" s="1" t="s">
        <v>354</v>
      </c>
      <c r="H86" s="1"/>
    </row>
    <row r="87" ht="15.75" customHeight="1" spans="1:8" x14ac:dyDescent="0.25">
      <c r="A87" s="1" t="s">
        <v>355</v>
      </c>
      <c r="B87" s="1" t="s">
        <v>356</v>
      </c>
      <c r="C87" s="1" t="s">
        <v>28</v>
      </c>
      <c r="D87" s="1" t="s">
        <v>98</v>
      </c>
      <c r="E87" s="1" t="s">
        <v>12</v>
      </c>
      <c r="F87" s="1" t="s">
        <v>13</v>
      </c>
      <c r="G87" s="1" t="s">
        <v>357</v>
      </c>
      <c r="H87" s="1"/>
    </row>
    <row r="88" ht="15.75" customHeight="1" spans="1:8" x14ac:dyDescent="0.25">
      <c r="A88" s="1" t="s">
        <v>358</v>
      </c>
      <c r="B88" s="1" t="s">
        <v>359</v>
      </c>
      <c r="C88" s="1" t="s">
        <v>28</v>
      </c>
      <c r="D88" s="1" t="s">
        <v>98</v>
      </c>
      <c r="E88" s="1" t="s">
        <v>12</v>
      </c>
      <c r="F88" s="1" t="s">
        <v>13</v>
      </c>
      <c r="G88" s="1" t="s">
        <v>360</v>
      </c>
      <c r="H88" s="1"/>
    </row>
    <row r="89" ht="15.75" customHeight="1" spans="1:8" x14ac:dyDescent="0.25">
      <c r="A89" s="1" t="s">
        <v>361</v>
      </c>
      <c r="B89" s="1" t="s">
        <v>362</v>
      </c>
      <c r="C89" s="1" t="s">
        <v>363</v>
      </c>
      <c r="D89" s="1" t="s">
        <v>98</v>
      </c>
      <c r="E89" s="1" t="s">
        <v>12</v>
      </c>
      <c r="F89" s="1" t="s">
        <v>13</v>
      </c>
      <c r="G89" s="1" t="s">
        <v>364</v>
      </c>
      <c r="H89" s="1"/>
    </row>
    <row r="90" ht="15.75" customHeight="1" spans="1:8" x14ac:dyDescent="0.25">
      <c r="A90" s="1" t="s">
        <v>365</v>
      </c>
      <c r="B90" s="1" t="s">
        <v>366</v>
      </c>
      <c r="C90" s="1" t="s">
        <v>363</v>
      </c>
      <c r="D90" s="1" t="s">
        <v>98</v>
      </c>
      <c r="E90" s="1" t="s">
        <v>12</v>
      </c>
      <c r="F90" s="1" t="s">
        <v>13</v>
      </c>
      <c r="G90" s="1" t="s">
        <v>367</v>
      </c>
      <c r="H90" s="1"/>
    </row>
    <row r="91" ht="15.75" customHeight="1" spans="1:8" x14ac:dyDescent="0.25">
      <c r="A91" s="1" t="s">
        <v>368</v>
      </c>
      <c r="B91" s="1" t="s">
        <v>369</v>
      </c>
      <c r="C91" s="1" t="s">
        <v>370</v>
      </c>
      <c r="D91" s="1" t="s">
        <v>98</v>
      </c>
      <c r="E91" s="1" t="s">
        <v>12</v>
      </c>
      <c r="F91" s="1" t="s">
        <v>13</v>
      </c>
      <c r="G91" s="1" t="s">
        <v>371</v>
      </c>
      <c r="H91" s="1"/>
    </row>
    <row r="92" ht="15.75" customHeight="1" spans="1:8" x14ac:dyDescent="0.25">
      <c r="A92" s="1" t="s">
        <v>372</v>
      </c>
      <c r="B92" s="1" t="s">
        <v>373</v>
      </c>
      <c r="C92" s="1" t="s">
        <v>17</v>
      </c>
      <c r="D92" s="1" t="s">
        <v>98</v>
      </c>
      <c r="E92" s="1" t="s">
        <v>12</v>
      </c>
      <c r="F92" s="1" t="s">
        <v>13</v>
      </c>
      <c r="G92" s="1" t="s">
        <v>374</v>
      </c>
      <c r="H92" s="1"/>
    </row>
    <row r="93" ht="15.75" customHeight="1" spans="1:8" x14ac:dyDescent="0.25">
      <c r="A93" s="1" t="s">
        <v>375</v>
      </c>
      <c r="B93" s="1" t="s">
        <v>376</v>
      </c>
      <c r="C93" s="1" t="s">
        <v>17</v>
      </c>
      <c r="D93" s="1" t="s">
        <v>98</v>
      </c>
      <c r="E93" s="1" t="s">
        <v>12</v>
      </c>
      <c r="F93" s="1" t="s">
        <v>13</v>
      </c>
      <c r="G93" s="1" t="s">
        <v>377</v>
      </c>
      <c r="H93" s="1"/>
    </row>
    <row r="94" ht="15.75" customHeight="1" spans="1:8" x14ac:dyDescent="0.25">
      <c r="A94" s="1" t="s">
        <v>378</v>
      </c>
      <c r="B94" s="1" t="s">
        <v>379</v>
      </c>
      <c r="C94" s="1" t="s">
        <v>17</v>
      </c>
      <c r="D94" s="1" t="s">
        <v>98</v>
      </c>
      <c r="E94" s="1" t="s">
        <v>12</v>
      </c>
      <c r="F94" s="1" t="s">
        <v>13</v>
      </c>
      <c r="G94" s="1" t="s">
        <v>380</v>
      </c>
      <c r="H94" s="1"/>
    </row>
    <row r="95" ht="15.75" customHeight="1" spans="1:8" x14ac:dyDescent="0.25">
      <c r="A95" s="1" t="s">
        <v>381</v>
      </c>
      <c r="B95" s="1" t="s">
        <v>382</v>
      </c>
      <c r="C95" s="1" t="s">
        <v>17</v>
      </c>
      <c r="D95" s="1" t="s">
        <v>98</v>
      </c>
      <c r="E95" s="1" t="s">
        <v>12</v>
      </c>
      <c r="F95" s="1" t="s">
        <v>13</v>
      </c>
      <c r="G95" s="1" t="s">
        <v>383</v>
      </c>
      <c r="H95" s="1"/>
    </row>
    <row r="96" ht="15.75" customHeight="1" spans="1:8" x14ac:dyDescent="0.25">
      <c r="A96" s="1" t="s">
        <v>384</v>
      </c>
      <c r="B96" s="1" t="s">
        <v>385</v>
      </c>
      <c r="C96" s="1" t="s">
        <v>386</v>
      </c>
      <c r="D96" s="1" t="s">
        <v>98</v>
      </c>
      <c r="E96" s="1" t="s">
        <v>12</v>
      </c>
      <c r="F96" s="1" t="s">
        <v>13</v>
      </c>
      <c r="G96" s="1" t="s">
        <v>387</v>
      </c>
      <c r="H96" s="1"/>
    </row>
    <row r="97" ht="15.75" customHeight="1" spans="1:8" x14ac:dyDescent="0.25">
      <c r="A97" s="1" t="s">
        <v>388</v>
      </c>
      <c r="B97" s="1" t="s">
        <v>389</v>
      </c>
      <c r="C97" s="1" t="s">
        <v>386</v>
      </c>
      <c r="D97" s="1" t="s">
        <v>98</v>
      </c>
      <c r="E97" s="1" t="s">
        <v>12</v>
      </c>
      <c r="F97" s="1" t="s">
        <v>13</v>
      </c>
      <c r="G97" s="1" t="s">
        <v>390</v>
      </c>
      <c r="H97" s="1"/>
    </row>
    <row r="98" ht="15.75" customHeight="1" spans="1:8" x14ac:dyDescent="0.25">
      <c r="A98" s="1" t="s">
        <v>391</v>
      </c>
      <c r="B98" s="1" t="s">
        <v>392</v>
      </c>
      <c r="C98" s="1" t="s">
        <v>393</v>
      </c>
      <c r="D98" s="1" t="s">
        <v>98</v>
      </c>
      <c r="E98" s="1" t="s">
        <v>12</v>
      </c>
      <c r="F98" s="1" t="s">
        <v>13</v>
      </c>
      <c r="G98" s="1" t="s">
        <v>394</v>
      </c>
      <c r="H98" s="1"/>
    </row>
    <row r="99" ht="15.75" customHeight="1" spans="1:8" x14ac:dyDescent="0.25">
      <c r="A99" s="1" t="s">
        <v>395</v>
      </c>
      <c r="B99" s="1" t="s">
        <v>396</v>
      </c>
      <c r="C99" s="1" t="s">
        <v>393</v>
      </c>
      <c r="D99" s="1" t="s">
        <v>98</v>
      </c>
      <c r="E99" s="1" t="s">
        <v>12</v>
      </c>
      <c r="F99" s="1" t="s">
        <v>13</v>
      </c>
      <c r="G99" s="1" t="s">
        <v>397</v>
      </c>
      <c r="H99" s="1" t="s">
        <v>159</v>
      </c>
    </row>
    <row r="100" ht="15.75" customHeight="1" spans="1:8" x14ac:dyDescent="0.25">
      <c r="A100" s="1" t="s">
        <v>398</v>
      </c>
      <c r="B100" s="1" t="s">
        <v>399</v>
      </c>
      <c r="C100" s="1" t="s">
        <v>393</v>
      </c>
      <c r="D100" s="1" t="s">
        <v>98</v>
      </c>
      <c r="E100" s="1" t="s">
        <v>12</v>
      </c>
      <c r="F100" s="1" t="s">
        <v>13</v>
      </c>
      <c r="G100" s="1" t="s">
        <v>400</v>
      </c>
      <c r="H100" s="1" t="s">
        <v>401</v>
      </c>
    </row>
    <row r="101" ht="15.75" customHeight="1" spans="1:8" x14ac:dyDescent="0.25">
      <c r="A101" s="1" t="s">
        <v>402</v>
      </c>
      <c r="B101" s="1" t="s">
        <v>403</v>
      </c>
      <c r="C101" s="1" t="s">
        <v>393</v>
      </c>
      <c r="D101" s="1" t="s">
        <v>98</v>
      </c>
      <c r="E101" s="1" t="s">
        <v>12</v>
      </c>
      <c r="F101" s="1" t="s">
        <v>13</v>
      </c>
      <c r="G101" s="1" t="s">
        <v>404</v>
      </c>
      <c r="H101" s="1"/>
    </row>
    <row r="102" ht="15.75" customHeight="1" spans="1:8" x14ac:dyDescent="0.25">
      <c r="A102" s="1" t="s">
        <v>405</v>
      </c>
      <c r="B102" s="1" t="s">
        <v>406</v>
      </c>
      <c r="C102" s="1" t="s">
        <v>393</v>
      </c>
      <c r="D102" s="1" t="s">
        <v>98</v>
      </c>
      <c r="E102" s="1" t="s">
        <v>12</v>
      </c>
      <c r="F102" s="1" t="s">
        <v>13</v>
      </c>
      <c r="G102" s="1" t="s">
        <v>407</v>
      </c>
      <c r="H102" s="1" t="s">
        <v>408</v>
      </c>
    </row>
    <row r="103" ht="15.75" customHeight="1" spans="1:8" x14ac:dyDescent="0.25">
      <c r="A103" s="1" t="s">
        <v>409</v>
      </c>
      <c r="B103" s="1" t="s">
        <v>410</v>
      </c>
      <c r="C103" s="1" t="s">
        <v>393</v>
      </c>
      <c r="D103" s="1" t="s">
        <v>98</v>
      </c>
      <c r="E103" s="1" t="s">
        <v>12</v>
      </c>
      <c r="F103" s="1" t="s">
        <v>13</v>
      </c>
      <c r="G103" s="1" t="s">
        <v>411</v>
      </c>
      <c r="H103" s="1" t="s">
        <v>412</v>
      </c>
    </row>
    <row r="104" ht="15.75" customHeight="1" spans="1:8" x14ac:dyDescent="0.25">
      <c r="A104" s="1" t="s">
        <v>413</v>
      </c>
      <c r="B104" s="1" t="s">
        <v>414</v>
      </c>
      <c r="C104" s="1" t="s">
        <v>415</v>
      </c>
      <c r="D104" s="1" t="s">
        <v>98</v>
      </c>
      <c r="E104" s="1" t="s">
        <v>12</v>
      </c>
      <c r="F104" s="1" t="s">
        <v>13</v>
      </c>
      <c r="G104" s="1" t="s">
        <v>416</v>
      </c>
      <c r="H104" s="1"/>
    </row>
    <row r="105" ht="15.75" customHeight="1" spans="1:8" x14ac:dyDescent="0.25">
      <c r="A105" s="1" t="s">
        <v>417</v>
      </c>
      <c r="B105" s="1" t="s">
        <v>418</v>
      </c>
      <c r="C105" s="1" t="s">
        <v>415</v>
      </c>
      <c r="D105" s="1" t="s">
        <v>98</v>
      </c>
      <c r="E105" s="1" t="s">
        <v>12</v>
      </c>
      <c r="F105" s="1" t="s">
        <v>13</v>
      </c>
      <c r="G105" s="1" t="s">
        <v>419</v>
      </c>
      <c r="H105" s="1"/>
    </row>
    <row r="106" ht="15.75" customHeight="1" spans="1:8" x14ac:dyDescent="0.25">
      <c r="A106" s="1" t="s">
        <v>420</v>
      </c>
      <c r="B106" s="1" t="s">
        <v>421</v>
      </c>
      <c r="C106" s="1" t="s">
        <v>415</v>
      </c>
      <c r="D106" s="1" t="s">
        <v>98</v>
      </c>
      <c r="E106" s="1" t="s">
        <v>12</v>
      </c>
      <c r="F106" s="1" t="s">
        <v>13</v>
      </c>
      <c r="G106" s="1" t="s">
        <v>422</v>
      </c>
      <c r="H106" s="1"/>
    </row>
    <row r="107" ht="15.75" customHeight="1" spans="1:8" x14ac:dyDescent="0.25">
      <c r="A107" s="1" t="s">
        <v>423</v>
      </c>
      <c r="B107" s="1" t="s">
        <v>424</v>
      </c>
      <c r="C107" s="1" t="s">
        <v>425</v>
      </c>
      <c r="D107" s="1" t="s">
        <v>98</v>
      </c>
      <c r="E107" s="1" t="s">
        <v>12</v>
      </c>
      <c r="F107" s="1" t="s">
        <v>13</v>
      </c>
      <c r="G107" s="1" t="s">
        <v>426</v>
      </c>
      <c r="H107" s="1"/>
    </row>
    <row r="108" ht="15.75" customHeight="1" spans="1:8" x14ac:dyDescent="0.25">
      <c r="A108" s="1" t="s">
        <v>427</v>
      </c>
      <c r="B108" s="1" t="s">
        <v>428</v>
      </c>
      <c r="C108" s="1" t="s">
        <v>425</v>
      </c>
      <c r="D108" s="1" t="s">
        <v>98</v>
      </c>
      <c r="E108" s="1" t="s">
        <v>12</v>
      </c>
      <c r="F108" s="1" t="s">
        <v>13</v>
      </c>
      <c r="G108" s="1" t="s">
        <v>429</v>
      </c>
      <c r="H108" s="1"/>
    </row>
    <row r="109" ht="15.75" customHeight="1" spans="1:8" x14ac:dyDescent="0.25">
      <c r="A109" s="1" t="s">
        <v>430</v>
      </c>
      <c r="B109" s="1" t="s">
        <v>431</v>
      </c>
      <c r="C109" s="1" t="s">
        <v>82</v>
      </c>
      <c r="D109" s="1" t="s">
        <v>98</v>
      </c>
      <c r="E109" s="1" t="s">
        <v>12</v>
      </c>
      <c r="F109" s="1" t="s">
        <v>13</v>
      </c>
      <c r="G109" s="1" t="s">
        <v>432</v>
      </c>
      <c r="H109" s="1"/>
    </row>
    <row r="110" ht="15.75" customHeight="1" spans="1:8" x14ac:dyDescent="0.25">
      <c r="A110" s="1" t="s">
        <v>433</v>
      </c>
      <c r="B110" s="1" t="s">
        <v>434</v>
      </c>
      <c r="C110" s="1" t="s">
        <v>82</v>
      </c>
      <c r="D110" s="1" t="s">
        <v>98</v>
      </c>
      <c r="E110" s="1" t="s">
        <v>12</v>
      </c>
      <c r="F110" s="1" t="s">
        <v>13</v>
      </c>
      <c r="G110" s="1" t="s">
        <v>435</v>
      </c>
      <c r="H110" s="1"/>
    </row>
    <row r="111" ht="15.75" customHeight="1" spans="1:8" x14ac:dyDescent="0.25">
      <c r="A111" s="1" t="s">
        <v>436</v>
      </c>
      <c r="B111" s="1" t="s">
        <v>437</v>
      </c>
      <c r="C111" s="1" t="s">
        <v>82</v>
      </c>
      <c r="D111" s="1" t="s">
        <v>98</v>
      </c>
      <c r="E111" s="1" t="s">
        <v>12</v>
      </c>
      <c r="F111" s="1" t="s">
        <v>13</v>
      </c>
      <c r="G111" s="1" t="s">
        <v>438</v>
      </c>
      <c r="H111" s="1"/>
    </row>
    <row r="112" ht="15.75" customHeight="1" spans="1:8" x14ac:dyDescent="0.25">
      <c r="A112" s="1" t="s">
        <v>439</v>
      </c>
      <c r="B112" s="1" t="s">
        <v>440</v>
      </c>
      <c r="C112" s="1" t="s">
        <v>21</v>
      </c>
      <c r="D112" s="1" t="s">
        <v>98</v>
      </c>
      <c r="E112" s="1" t="s">
        <v>12</v>
      </c>
      <c r="F112" s="1" t="s">
        <v>13</v>
      </c>
      <c r="G112" s="1" t="s">
        <v>441</v>
      </c>
      <c r="H112" s="1"/>
    </row>
    <row r="113" ht="15.75" customHeight="1" spans="1:8" x14ac:dyDescent="0.25">
      <c r="A113" s="1" t="s">
        <v>442</v>
      </c>
      <c r="B113" s="1" t="s">
        <v>443</v>
      </c>
      <c r="C113" s="1" t="s">
        <v>21</v>
      </c>
      <c r="D113" s="1" t="s">
        <v>98</v>
      </c>
      <c r="E113" s="1" t="s">
        <v>12</v>
      </c>
      <c r="F113" s="1" t="s">
        <v>13</v>
      </c>
      <c r="G113" s="1" t="s">
        <v>444</v>
      </c>
      <c r="H113" s="1"/>
    </row>
    <row r="114" ht="15.75" customHeight="1" spans="1:8" x14ac:dyDescent="0.25">
      <c r="A114" s="1" t="s">
        <v>445</v>
      </c>
      <c r="B114" s="1" t="s">
        <v>446</v>
      </c>
      <c r="C114" s="1" t="s">
        <v>21</v>
      </c>
      <c r="D114" s="1" t="s">
        <v>98</v>
      </c>
      <c r="E114" s="1" t="s">
        <v>12</v>
      </c>
      <c r="F114" s="1" t="s">
        <v>13</v>
      </c>
      <c r="G114" s="1" t="s">
        <v>447</v>
      </c>
      <c r="H114" s="1"/>
    </row>
    <row r="115" ht="15.75" customHeight="1" spans="1:8" x14ac:dyDescent="0.25">
      <c r="A115" s="1" t="s">
        <v>448</v>
      </c>
      <c r="B115" s="1" t="s">
        <v>449</v>
      </c>
      <c r="C115" s="1" t="s">
        <v>21</v>
      </c>
      <c r="D115" s="1" t="s">
        <v>98</v>
      </c>
      <c r="E115" s="1" t="s">
        <v>12</v>
      </c>
      <c r="F115" s="1" t="s">
        <v>13</v>
      </c>
      <c r="G115" s="1" t="s">
        <v>450</v>
      </c>
      <c r="H115" s="1"/>
    </row>
    <row r="116" ht="15.75" customHeight="1" spans="1:8" x14ac:dyDescent="0.25">
      <c r="A116" s="1" t="s">
        <v>451</v>
      </c>
      <c r="B116" s="1" t="s">
        <v>452</v>
      </c>
      <c r="C116" s="1" t="s">
        <v>21</v>
      </c>
      <c r="D116" s="1" t="s">
        <v>98</v>
      </c>
      <c r="E116" s="1" t="s">
        <v>12</v>
      </c>
      <c r="F116" s="1" t="s">
        <v>13</v>
      </c>
      <c r="G116" s="1" t="s">
        <v>453</v>
      </c>
      <c r="H116" s="1"/>
    </row>
    <row r="117" ht="15.75" customHeight="1" spans="1:8" x14ac:dyDescent="0.25">
      <c r="A117" s="1" t="s">
        <v>454</v>
      </c>
      <c r="B117" s="1" t="s">
        <v>455</v>
      </c>
      <c r="C117" s="1" t="s">
        <v>21</v>
      </c>
      <c r="D117" s="1" t="s">
        <v>98</v>
      </c>
      <c r="E117" s="1" t="s">
        <v>12</v>
      </c>
      <c r="F117" s="1" t="s">
        <v>13</v>
      </c>
      <c r="G117" s="1" t="s">
        <v>456</v>
      </c>
      <c r="H117" s="1"/>
    </row>
    <row r="118" ht="15.75" customHeight="1" spans="1:8" x14ac:dyDescent="0.25">
      <c r="A118" s="1" t="s">
        <v>457</v>
      </c>
      <c r="B118" s="1" t="s">
        <v>458</v>
      </c>
      <c r="C118" s="1" t="s">
        <v>21</v>
      </c>
      <c r="D118" s="1" t="s">
        <v>98</v>
      </c>
      <c r="E118" s="1" t="s">
        <v>12</v>
      </c>
      <c r="F118" s="1" t="s">
        <v>13</v>
      </c>
      <c r="G118" s="1" t="s">
        <v>459</v>
      </c>
      <c r="H118" s="1"/>
    </row>
    <row r="119" ht="15.75" customHeight="1" spans="1:8" x14ac:dyDescent="0.25">
      <c r="A119" s="1" t="s">
        <v>460</v>
      </c>
      <c r="B119" s="1" t="s">
        <v>461</v>
      </c>
      <c r="C119" s="1" t="s">
        <v>21</v>
      </c>
      <c r="D119" s="1" t="s">
        <v>98</v>
      </c>
      <c r="E119" s="1" t="s">
        <v>12</v>
      </c>
      <c r="F119" s="1" t="s">
        <v>13</v>
      </c>
      <c r="G119" s="1" t="s">
        <v>462</v>
      </c>
      <c r="H119" s="1"/>
    </row>
    <row r="120" ht="15.75" customHeight="1" spans="1:8" x14ac:dyDescent="0.25">
      <c r="A120" s="1" t="s">
        <v>463</v>
      </c>
      <c r="B120" s="1" t="s">
        <v>464</v>
      </c>
      <c r="C120" s="1" t="s">
        <v>21</v>
      </c>
      <c r="D120" s="1" t="s">
        <v>98</v>
      </c>
      <c r="E120" s="1" t="s">
        <v>12</v>
      </c>
      <c r="F120" s="1" t="s">
        <v>13</v>
      </c>
      <c r="G120" s="1" t="s">
        <v>465</v>
      </c>
      <c r="H120" s="1"/>
    </row>
    <row r="121" ht="15.75" customHeight="1" spans="1:8" x14ac:dyDescent="0.25">
      <c r="A121" s="1" t="s">
        <v>466</v>
      </c>
      <c r="B121" s="1" t="s">
        <v>467</v>
      </c>
      <c r="C121" s="1" t="s">
        <v>21</v>
      </c>
      <c r="D121" s="1" t="s">
        <v>98</v>
      </c>
      <c r="E121" s="1" t="s">
        <v>12</v>
      </c>
      <c r="F121" s="1" t="s">
        <v>13</v>
      </c>
      <c r="G121" s="1" t="s">
        <v>468</v>
      </c>
      <c r="H121" s="1"/>
    </row>
    <row r="122" ht="15.75" customHeight="1" spans="1:8" x14ac:dyDescent="0.25">
      <c r="A122" s="1" t="s">
        <v>469</v>
      </c>
      <c r="B122" s="1" t="s">
        <v>470</v>
      </c>
      <c r="C122" s="1" t="s">
        <v>21</v>
      </c>
      <c r="D122" s="1" t="s">
        <v>98</v>
      </c>
      <c r="E122" s="1" t="s">
        <v>12</v>
      </c>
      <c r="F122" s="1" t="s">
        <v>13</v>
      </c>
      <c r="G122" s="1" t="s">
        <v>471</v>
      </c>
      <c r="H122" s="1"/>
    </row>
    <row r="123" ht="15.75" customHeight="1" spans="1:8" x14ac:dyDescent="0.25">
      <c r="A123" s="1" t="s">
        <v>472</v>
      </c>
      <c r="B123" s="1" t="s">
        <v>473</v>
      </c>
      <c r="C123" s="1" t="s">
        <v>21</v>
      </c>
      <c r="D123" s="1" t="s">
        <v>98</v>
      </c>
      <c r="E123" s="1" t="s">
        <v>12</v>
      </c>
      <c r="F123" s="1" t="s">
        <v>13</v>
      </c>
      <c r="G123" s="1" t="s">
        <v>474</v>
      </c>
      <c r="H123" s="1"/>
    </row>
    <row r="124" ht="15.75" customHeight="1" spans="1:8" x14ac:dyDescent="0.25">
      <c r="A124" s="1" t="s">
        <v>475</v>
      </c>
      <c r="B124" s="1" t="s">
        <v>476</v>
      </c>
      <c r="C124" s="1" t="s">
        <v>21</v>
      </c>
      <c r="D124" s="1" t="s">
        <v>98</v>
      </c>
      <c r="E124" s="1" t="s">
        <v>12</v>
      </c>
      <c r="F124" s="1" t="s">
        <v>13</v>
      </c>
      <c r="G124" s="1" t="s">
        <v>477</v>
      </c>
      <c r="H124" s="1"/>
    </row>
    <row r="125" ht="15.75" customHeight="1" spans="1:8" x14ac:dyDescent="0.25">
      <c r="A125" s="1" t="s">
        <v>478</v>
      </c>
      <c r="B125" s="1" t="s">
        <v>479</v>
      </c>
      <c r="C125" s="1" t="s">
        <v>21</v>
      </c>
      <c r="D125" s="1" t="s">
        <v>98</v>
      </c>
      <c r="E125" s="1" t="s">
        <v>12</v>
      </c>
      <c r="F125" s="1" t="s">
        <v>13</v>
      </c>
      <c r="G125" s="1" t="s">
        <v>480</v>
      </c>
      <c r="H125" s="1"/>
    </row>
    <row r="126" ht="15.75" customHeight="1" spans="1:8" x14ac:dyDescent="0.25">
      <c r="A126" s="1" t="s">
        <v>481</v>
      </c>
      <c r="B126" s="1" t="s">
        <v>482</v>
      </c>
      <c r="C126" s="1" t="s">
        <v>21</v>
      </c>
      <c r="D126" s="1" t="s">
        <v>98</v>
      </c>
      <c r="E126" s="1" t="s">
        <v>12</v>
      </c>
      <c r="F126" s="1" t="s">
        <v>13</v>
      </c>
      <c r="G126" s="1" t="s">
        <v>483</v>
      </c>
      <c r="H126" s="1"/>
    </row>
    <row r="127" ht="15.75" customHeight="1" spans="1:8" x14ac:dyDescent="0.25">
      <c r="A127" s="1" t="s">
        <v>484</v>
      </c>
      <c r="B127" s="1" t="s">
        <v>485</v>
      </c>
      <c r="C127" s="1" t="s">
        <v>21</v>
      </c>
      <c r="D127" s="1" t="s">
        <v>98</v>
      </c>
      <c r="E127" s="1" t="s">
        <v>12</v>
      </c>
      <c r="F127" s="1" t="s">
        <v>13</v>
      </c>
      <c r="G127" s="1" t="s">
        <v>486</v>
      </c>
      <c r="H127" s="1"/>
    </row>
    <row r="128" ht="15.75" customHeight="1" spans="1:8" x14ac:dyDescent="0.25">
      <c r="A128" s="1" t="s">
        <v>487</v>
      </c>
      <c r="B128" s="1" t="s">
        <v>488</v>
      </c>
      <c r="C128" s="1" t="s">
        <v>21</v>
      </c>
      <c r="D128" s="1" t="s">
        <v>98</v>
      </c>
      <c r="E128" s="1" t="s">
        <v>12</v>
      </c>
      <c r="F128" s="1" t="s">
        <v>13</v>
      </c>
      <c r="G128" s="1" t="s">
        <v>489</v>
      </c>
      <c r="H128" s="1"/>
    </row>
    <row r="129" ht="15.75" customHeight="1" spans="1:8" x14ac:dyDescent="0.25">
      <c r="A129" s="1" t="s">
        <v>490</v>
      </c>
      <c r="B129" s="1" t="s">
        <v>491</v>
      </c>
      <c r="C129" s="1" t="s">
        <v>21</v>
      </c>
      <c r="D129" s="1" t="s">
        <v>98</v>
      </c>
      <c r="E129" s="1" t="s">
        <v>12</v>
      </c>
      <c r="F129" s="1" t="s">
        <v>13</v>
      </c>
      <c r="G129" s="1" t="s">
        <v>492</v>
      </c>
      <c r="H129" s="1"/>
    </row>
    <row r="130" ht="15.75" customHeight="1" spans="1:8" x14ac:dyDescent="0.25">
      <c r="A130" s="1" t="s">
        <v>493</v>
      </c>
      <c r="B130" s="1" t="s">
        <v>494</v>
      </c>
      <c r="C130" s="1" t="s">
        <v>21</v>
      </c>
      <c r="D130" s="1" t="s">
        <v>98</v>
      </c>
      <c r="E130" s="1" t="s">
        <v>12</v>
      </c>
      <c r="F130" s="1" t="s">
        <v>13</v>
      </c>
      <c r="G130" s="1" t="s">
        <v>495</v>
      </c>
      <c r="H130" s="1"/>
    </row>
    <row r="131" ht="15.75" customHeight="1" spans="1:8" x14ac:dyDescent="0.25">
      <c r="A131" s="1" t="s">
        <v>496</v>
      </c>
      <c r="B131" s="1" t="s">
        <v>497</v>
      </c>
      <c r="C131" s="1" t="s">
        <v>21</v>
      </c>
      <c r="D131" s="1" t="s">
        <v>98</v>
      </c>
      <c r="E131" s="1" t="s">
        <v>12</v>
      </c>
      <c r="F131" s="1" t="s">
        <v>13</v>
      </c>
      <c r="G131" s="1" t="s">
        <v>498</v>
      </c>
      <c r="H131" s="1"/>
    </row>
    <row r="132" ht="15.75" customHeight="1" spans="1:8" x14ac:dyDescent="0.25">
      <c r="A132" s="1" t="s">
        <v>499</v>
      </c>
      <c r="B132" s="1" t="s">
        <v>500</v>
      </c>
      <c r="C132" s="1" t="s">
        <v>21</v>
      </c>
      <c r="D132" s="1" t="s">
        <v>98</v>
      </c>
      <c r="E132" s="1" t="s">
        <v>12</v>
      </c>
      <c r="F132" s="1" t="s">
        <v>13</v>
      </c>
      <c r="G132" s="1" t="s">
        <v>501</v>
      </c>
      <c r="H132" s="1"/>
    </row>
    <row r="133" ht="15.75" customHeight="1" spans="1:8" x14ac:dyDescent="0.25">
      <c r="A133" s="1" t="s">
        <v>502</v>
      </c>
      <c r="B133" s="1" t="s">
        <v>503</v>
      </c>
      <c r="C133" s="1" t="s">
        <v>21</v>
      </c>
      <c r="D133" s="1" t="s">
        <v>98</v>
      </c>
      <c r="E133" s="1" t="s">
        <v>12</v>
      </c>
      <c r="F133" s="1" t="s">
        <v>13</v>
      </c>
      <c r="G133" s="1" t="s">
        <v>504</v>
      </c>
      <c r="H133" s="1"/>
    </row>
    <row r="134" ht="15.75" customHeight="1" spans="1:8" x14ac:dyDescent="0.25">
      <c r="A134" s="1" t="s">
        <v>505</v>
      </c>
      <c r="B134" s="1" t="s">
        <v>506</v>
      </c>
      <c r="C134" s="1" t="s">
        <v>21</v>
      </c>
      <c r="D134" s="1" t="s">
        <v>98</v>
      </c>
      <c r="E134" s="1" t="s">
        <v>12</v>
      </c>
      <c r="F134" s="1" t="s">
        <v>13</v>
      </c>
      <c r="G134" s="1" t="s">
        <v>507</v>
      </c>
      <c r="H134" s="1"/>
    </row>
    <row r="135" ht="15.75" customHeight="1" spans="1:8" x14ac:dyDescent="0.25">
      <c r="A135" s="1" t="s">
        <v>508</v>
      </c>
      <c r="B135" s="1" t="s">
        <v>509</v>
      </c>
      <c r="C135" s="1" t="s">
        <v>21</v>
      </c>
      <c r="D135" s="1" t="s">
        <v>98</v>
      </c>
      <c r="E135" s="1" t="s">
        <v>12</v>
      </c>
      <c r="F135" s="1" t="s">
        <v>13</v>
      </c>
      <c r="G135" s="1" t="s">
        <v>510</v>
      </c>
      <c r="H135" s="1"/>
    </row>
    <row r="136" ht="15.75" customHeight="1" spans="1:8" x14ac:dyDescent="0.25">
      <c r="A136" s="1" t="s">
        <v>511</v>
      </c>
      <c r="B136" s="1" t="s">
        <v>512</v>
      </c>
      <c r="C136" s="1" t="s">
        <v>21</v>
      </c>
      <c r="D136" s="1" t="s">
        <v>98</v>
      </c>
      <c r="E136" s="1" t="s">
        <v>12</v>
      </c>
      <c r="F136" s="1" t="s">
        <v>13</v>
      </c>
      <c r="G136" s="1" t="s">
        <v>513</v>
      </c>
      <c r="H136" s="1"/>
    </row>
    <row r="137" ht="15.75" customHeight="1" spans="1:8" x14ac:dyDescent="0.25">
      <c r="A137" s="1" t="s">
        <v>514</v>
      </c>
      <c r="B137" s="1" t="s">
        <v>515</v>
      </c>
      <c r="C137" s="1" t="s">
        <v>21</v>
      </c>
      <c r="D137" s="1" t="s">
        <v>98</v>
      </c>
      <c r="E137" s="1" t="s">
        <v>12</v>
      </c>
      <c r="F137" s="1" t="s">
        <v>13</v>
      </c>
      <c r="G137" s="1" t="s">
        <v>516</v>
      </c>
      <c r="H137" s="1"/>
    </row>
    <row r="138" ht="15.75" customHeight="1" spans="1:8" x14ac:dyDescent="0.25">
      <c r="A138" s="1" t="s">
        <v>517</v>
      </c>
      <c r="B138" s="1" t="s">
        <v>518</v>
      </c>
      <c r="C138" s="1" t="s">
        <v>21</v>
      </c>
      <c r="D138" s="1" t="s">
        <v>98</v>
      </c>
      <c r="E138" s="1" t="s">
        <v>12</v>
      </c>
      <c r="F138" s="1" t="s">
        <v>13</v>
      </c>
      <c r="G138" s="1" t="s">
        <v>519</v>
      </c>
      <c r="H138" s="1" t="s">
        <v>520</v>
      </c>
    </row>
    <row r="139" ht="15.75" customHeight="1" spans="1:8" x14ac:dyDescent="0.25">
      <c r="A139" s="1" t="s">
        <v>521</v>
      </c>
      <c r="B139" s="1" t="s">
        <v>522</v>
      </c>
      <c r="C139" s="1" t="s">
        <v>21</v>
      </c>
      <c r="D139" s="1" t="s">
        <v>98</v>
      </c>
      <c r="E139" s="1" t="s">
        <v>12</v>
      </c>
      <c r="F139" s="1" t="s">
        <v>13</v>
      </c>
      <c r="G139" s="1" t="s">
        <v>523</v>
      </c>
      <c r="H139" s="1"/>
    </row>
    <row r="140" ht="15.75" customHeight="1" spans="1:8" x14ac:dyDescent="0.25">
      <c r="A140" s="1" t="s">
        <v>524</v>
      </c>
      <c r="B140" s="1" t="s">
        <v>525</v>
      </c>
      <c r="C140" s="1" t="s">
        <v>21</v>
      </c>
      <c r="D140" s="1" t="s">
        <v>98</v>
      </c>
      <c r="E140" s="1" t="s">
        <v>12</v>
      </c>
      <c r="F140" s="1" t="s">
        <v>13</v>
      </c>
      <c r="G140" s="1" t="s">
        <v>526</v>
      </c>
      <c r="H140" s="1"/>
    </row>
    <row r="141" ht="15.75" customHeight="1" spans="1:8" x14ac:dyDescent="0.25">
      <c r="A141" s="1" t="s">
        <v>527</v>
      </c>
      <c r="B141" s="1" t="s">
        <v>528</v>
      </c>
      <c r="C141" s="1" t="s">
        <v>21</v>
      </c>
      <c r="D141" s="1" t="s">
        <v>98</v>
      </c>
      <c r="E141" s="1" t="s">
        <v>12</v>
      </c>
      <c r="F141" s="1" t="s">
        <v>13</v>
      </c>
      <c r="G141" s="1" t="s">
        <v>529</v>
      </c>
      <c r="H141" s="1"/>
    </row>
    <row r="142" ht="15.75" customHeight="1" spans="1:8" x14ac:dyDescent="0.25">
      <c r="A142" s="1" t="s">
        <v>530</v>
      </c>
      <c r="B142" s="1" t="s">
        <v>531</v>
      </c>
      <c r="C142" s="1" t="s">
        <v>21</v>
      </c>
      <c r="D142" s="1" t="s">
        <v>98</v>
      </c>
      <c r="E142" s="1" t="s">
        <v>12</v>
      </c>
      <c r="F142" s="1" t="s">
        <v>13</v>
      </c>
      <c r="G142" s="1" t="s">
        <v>532</v>
      </c>
      <c r="H142" s="1"/>
    </row>
    <row r="143" ht="15.75" customHeight="1" spans="1:8" x14ac:dyDescent="0.25">
      <c r="A143" s="1" t="s">
        <v>533</v>
      </c>
      <c r="B143" s="1" t="s">
        <v>534</v>
      </c>
      <c r="C143" s="1" t="s">
        <v>21</v>
      </c>
      <c r="D143" s="1" t="s">
        <v>98</v>
      </c>
      <c r="E143" s="1" t="s">
        <v>12</v>
      </c>
      <c r="F143" s="1" t="s">
        <v>13</v>
      </c>
      <c r="G143" s="1" t="s">
        <v>535</v>
      </c>
      <c r="H143" s="1"/>
    </row>
    <row r="144" ht="15.75" customHeight="1" spans="1:8" x14ac:dyDescent="0.25">
      <c r="A144" s="1" t="s">
        <v>536</v>
      </c>
      <c r="B144" s="1" t="s">
        <v>537</v>
      </c>
      <c r="C144" s="1" t="s">
        <v>21</v>
      </c>
      <c r="D144" s="1" t="s">
        <v>98</v>
      </c>
      <c r="E144" s="1" t="s">
        <v>12</v>
      </c>
      <c r="F144" s="1" t="s">
        <v>13</v>
      </c>
      <c r="G144" s="1" t="s">
        <v>538</v>
      </c>
      <c r="H144" s="1"/>
    </row>
    <row r="145" ht="15.75" customHeight="1" spans="1:8" x14ac:dyDescent="0.25">
      <c r="A145" s="1" t="s">
        <v>539</v>
      </c>
      <c r="B145" s="1" t="s">
        <v>540</v>
      </c>
      <c r="C145" s="1" t="s">
        <v>21</v>
      </c>
      <c r="D145" s="1" t="s">
        <v>98</v>
      </c>
      <c r="E145" s="1" t="s">
        <v>12</v>
      </c>
      <c r="F145" s="1" t="s">
        <v>13</v>
      </c>
      <c r="G145" s="1" t="s">
        <v>541</v>
      </c>
      <c r="H145" s="1"/>
    </row>
    <row r="146" ht="15.75" customHeight="1" spans="1:8" x14ac:dyDescent="0.25">
      <c r="A146" s="1" t="s">
        <v>542</v>
      </c>
      <c r="B146" s="1" t="s">
        <v>543</v>
      </c>
      <c r="C146" s="1" t="s">
        <v>21</v>
      </c>
      <c r="D146" s="1" t="s">
        <v>98</v>
      </c>
      <c r="E146" s="1" t="s">
        <v>12</v>
      </c>
      <c r="F146" s="1" t="s">
        <v>13</v>
      </c>
      <c r="G146" s="1" t="s">
        <v>544</v>
      </c>
      <c r="H146" s="1"/>
    </row>
    <row r="147" ht="15.75" customHeight="1" spans="1:8" x14ac:dyDescent="0.25">
      <c r="A147" s="1" t="s">
        <v>545</v>
      </c>
      <c r="B147" s="1" t="s">
        <v>546</v>
      </c>
      <c r="C147" s="1" t="s">
        <v>21</v>
      </c>
      <c r="D147" s="1" t="s">
        <v>98</v>
      </c>
      <c r="E147" s="1" t="s">
        <v>12</v>
      </c>
      <c r="F147" s="1" t="s">
        <v>13</v>
      </c>
      <c r="G147" s="1" t="s">
        <v>547</v>
      </c>
      <c r="H147" s="1" t="s">
        <v>42</v>
      </c>
    </row>
    <row r="148" ht="15.75" customHeight="1" spans="1:8" x14ac:dyDescent="0.25">
      <c r="A148" s="1" t="s">
        <v>548</v>
      </c>
      <c r="B148" s="1" t="s">
        <v>549</v>
      </c>
      <c r="C148" s="1" t="s">
        <v>21</v>
      </c>
      <c r="D148" s="1" t="s">
        <v>98</v>
      </c>
      <c r="E148" s="1" t="s">
        <v>12</v>
      </c>
      <c r="F148" s="1" t="s">
        <v>13</v>
      </c>
      <c r="G148" s="1" t="s">
        <v>550</v>
      </c>
      <c r="H148" s="1" t="s">
        <v>551</v>
      </c>
    </row>
    <row r="149" ht="15.75" customHeight="1" spans="1:8" x14ac:dyDescent="0.25">
      <c r="A149" s="1" t="s">
        <v>552</v>
      </c>
      <c r="B149" s="1" t="s">
        <v>553</v>
      </c>
      <c r="C149" s="1" t="s">
        <v>21</v>
      </c>
      <c r="D149" s="1" t="s">
        <v>98</v>
      </c>
      <c r="E149" s="1" t="s">
        <v>12</v>
      </c>
      <c r="F149" s="1" t="s">
        <v>13</v>
      </c>
      <c r="G149" s="1" t="s">
        <v>554</v>
      </c>
      <c r="H149" s="1"/>
    </row>
    <row r="150" ht="15.75" customHeight="1" spans="1:8" x14ac:dyDescent="0.25">
      <c r="A150" s="1" t="s">
        <v>555</v>
      </c>
      <c r="B150" s="1" t="s">
        <v>556</v>
      </c>
      <c r="C150" s="1" t="s">
        <v>21</v>
      </c>
      <c r="D150" s="1" t="s">
        <v>98</v>
      </c>
      <c r="E150" s="1" t="s">
        <v>12</v>
      </c>
      <c r="F150" s="1" t="s">
        <v>13</v>
      </c>
      <c r="G150" s="1" t="s">
        <v>557</v>
      </c>
      <c r="H150" s="1"/>
    </row>
    <row r="151" ht="15.75" customHeight="1" spans="1:8" x14ac:dyDescent="0.25">
      <c r="A151" s="1" t="s">
        <v>558</v>
      </c>
      <c r="B151" s="1" t="s">
        <v>559</v>
      </c>
      <c r="C151" s="1" t="s">
        <v>21</v>
      </c>
      <c r="D151" s="1" t="s">
        <v>98</v>
      </c>
      <c r="E151" s="1" t="s">
        <v>12</v>
      </c>
      <c r="F151" s="1" t="s">
        <v>13</v>
      </c>
      <c r="G151" s="1" t="s">
        <v>560</v>
      </c>
      <c r="H151" s="1"/>
    </row>
    <row r="152" ht="15.75" customHeight="1" spans="1:8" x14ac:dyDescent="0.25">
      <c r="A152" s="1" t="s">
        <v>561</v>
      </c>
      <c r="B152" s="1" t="s">
        <v>562</v>
      </c>
      <c r="C152" s="1" t="s">
        <v>21</v>
      </c>
      <c r="D152" s="1" t="s">
        <v>98</v>
      </c>
      <c r="E152" s="1" t="s">
        <v>12</v>
      </c>
      <c r="F152" s="1" t="s">
        <v>13</v>
      </c>
      <c r="G152" s="1" t="s">
        <v>563</v>
      </c>
      <c r="H152" s="1"/>
    </row>
    <row r="153" ht="15.75" customHeight="1" spans="1:8" x14ac:dyDescent="0.25">
      <c r="A153" s="1" t="s">
        <v>564</v>
      </c>
      <c r="B153" s="1" t="s">
        <v>565</v>
      </c>
      <c r="C153" s="1" t="s">
        <v>21</v>
      </c>
      <c r="D153" s="1" t="s">
        <v>98</v>
      </c>
      <c r="E153" s="1" t="s">
        <v>12</v>
      </c>
      <c r="F153" s="1" t="s">
        <v>13</v>
      </c>
      <c r="G153" s="1" t="s">
        <v>566</v>
      </c>
      <c r="H153" s="1"/>
    </row>
    <row r="154" ht="15.75" customHeight="1" spans="1:8" x14ac:dyDescent="0.25">
      <c r="A154" s="1" t="s">
        <v>567</v>
      </c>
      <c r="B154" s="1" t="s">
        <v>568</v>
      </c>
      <c r="C154" s="1" t="s">
        <v>21</v>
      </c>
      <c r="D154" s="1" t="s">
        <v>98</v>
      </c>
      <c r="E154" s="1" t="s">
        <v>12</v>
      </c>
      <c r="F154" s="1" t="s">
        <v>13</v>
      </c>
      <c r="G154" s="1" t="s">
        <v>569</v>
      </c>
      <c r="H154" s="1"/>
    </row>
    <row r="155" ht="15.75" customHeight="1" spans="1:8" x14ac:dyDescent="0.25">
      <c r="A155" s="1" t="s">
        <v>575</v>
      </c>
      <c r="B155" s="1" t="s">
        <v>576</v>
      </c>
      <c r="C155" s="1" t="s">
        <v>21</v>
      </c>
      <c r="D155" s="1" t="s">
        <v>98</v>
      </c>
      <c r="E155" s="1" t="s">
        <v>12</v>
      </c>
      <c r="F155" s="1" t="s">
        <v>13</v>
      </c>
      <c r="G155" s="1" t="s">
        <v>577</v>
      </c>
      <c r="H155" s="1"/>
    </row>
    <row r="156" ht="15.75" customHeight="1" spans="1:8" x14ac:dyDescent="0.25">
      <c r="A156" s="1" t="s">
        <v>578</v>
      </c>
      <c r="B156" s="1" t="s">
        <v>579</v>
      </c>
      <c r="C156" s="1" t="s">
        <v>21</v>
      </c>
      <c r="D156" s="1" t="s">
        <v>98</v>
      </c>
      <c r="E156" s="1" t="s">
        <v>12</v>
      </c>
      <c r="F156" s="1" t="s">
        <v>13</v>
      </c>
      <c r="G156" s="1" t="s">
        <v>580</v>
      </c>
      <c r="H156" s="1"/>
    </row>
    <row r="157" ht="15.75" customHeight="1" spans="1:8" x14ac:dyDescent="0.25">
      <c r="A157" s="1" t="s">
        <v>581</v>
      </c>
      <c r="B157" s="1" t="s">
        <v>582</v>
      </c>
      <c r="C157" s="1" t="s">
        <v>583</v>
      </c>
      <c r="D157" s="1" t="s">
        <v>98</v>
      </c>
      <c r="E157" s="1" t="s">
        <v>12</v>
      </c>
      <c r="F157" s="1" t="s">
        <v>13</v>
      </c>
      <c r="G157" s="1" t="s">
        <v>584</v>
      </c>
      <c r="H157" s="1"/>
    </row>
    <row r="158" ht="15.75" customHeight="1" spans="1:8" x14ac:dyDescent="0.25">
      <c r="A158" s="1" t="s">
        <v>585</v>
      </c>
      <c r="B158" s="1" t="s">
        <v>586</v>
      </c>
      <c r="C158" s="1" t="s">
        <v>583</v>
      </c>
      <c r="D158" s="1" t="s">
        <v>98</v>
      </c>
      <c r="E158" s="1" t="s">
        <v>12</v>
      </c>
      <c r="F158" s="1" t="s">
        <v>13</v>
      </c>
      <c r="G158" s="1" t="s">
        <v>587</v>
      </c>
      <c r="H158" s="1"/>
    </row>
    <row r="159" ht="15.75" customHeight="1" spans="1:8" x14ac:dyDescent="0.25">
      <c r="A159" s="1" t="s">
        <v>588</v>
      </c>
      <c r="B159" s="1" t="s">
        <v>589</v>
      </c>
      <c r="C159" s="1" t="s">
        <v>28</v>
      </c>
      <c r="D159" s="1" t="s">
        <v>98</v>
      </c>
      <c r="E159" s="1" t="s">
        <v>12</v>
      </c>
      <c r="F159" s="1" t="s">
        <v>13</v>
      </c>
      <c r="G159" s="1" t="s">
        <v>590</v>
      </c>
      <c r="H159" s="1"/>
    </row>
    <row r="160" ht="15.75" customHeight="1" spans="1:8" x14ac:dyDescent="0.25">
      <c r="A160" s="1" t="s">
        <v>591</v>
      </c>
      <c r="B160" s="1" t="s">
        <v>592</v>
      </c>
      <c r="C160" s="1" t="s">
        <v>28</v>
      </c>
      <c r="D160" s="1" t="s">
        <v>98</v>
      </c>
      <c r="E160" s="1" t="s">
        <v>12</v>
      </c>
      <c r="F160" s="1" t="s">
        <v>13</v>
      </c>
      <c r="G160" s="1" t="s">
        <v>593</v>
      </c>
      <c r="H160" s="1" t="s">
        <v>594</v>
      </c>
    </row>
    <row r="161" ht="15.75" customHeight="1" spans="1:8" x14ac:dyDescent="0.25">
      <c r="A161" s="1" t="s">
        <v>595</v>
      </c>
      <c r="B161" s="1" t="s">
        <v>596</v>
      </c>
      <c r="C161" s="1" t="s">
        <v>32</v>
      </c>
      <c r="D161" s="1" t="s">
        <v>98</v>
      </c>
      <c r="E161" s="1" t="s">
        <v>12</v>
      </c>
      <c r="F161" s="1" t="s">
        <v>13</v>
      </c>
      <c r="G161" s="1" t="s">
        <v>597</v>
      </c>
      <c r="H161" s="1" t="s">
        <v>598</v>
      </c>
    </row>
    <row r="162" ht="15.75" customHeight="1" spans="1:8" x14ac:dyDescent="0.25">
      <c r="A162" s="1" t="s">
        <v>599</v>
      </c>
      <c r="B162" s="1" t="s">
        <v>600</v>
      </c>
      <c r="C162" s="1" t="s">
        <v>32</v>
      </c>
      <c r="D162" s="1" t="s">
        <v>98</v>
      </c>
      <c r="E162" s="1" t="s">
        <v>12</v>
      </c>
      <c r="F162" s="1" t="s">
        <v>13</v>
      </c>
      <c r="G162" s="1" t="s">
        <v>239</v>
      </c>
      <c r="H162" s="1"/>
    </row>
    <row r="163" ht="15.75" customHeight="1" spans="1:8" x14ac:dyDescent="0.25">
      <c r="A163" s="1" t="s">
        <v>601</v>
      </c>
      <c r="B163" s="1" t="s">
        <v>602</v>
      </c>
      <c r="C163" s="1" t="s">
        <v>32</v>
      </c>
      <c r="D163" s="1" t="s">
        <v>98</v>
      </c>
      <c r="E163" s="1" t="s">
        <v>12</v>
      </c>
      <c r="F163" s="1" t="s">
        <v>13</v>
      </c>
      <c r="G163" s="1" t="s">
        <v>603</v>
      </c>
      <c r="H163" s="1"/>
    </row>
    <row r="164" ht="15.75" customHeight="1" spans="1:8" x14ac:dyDescent="0.25">
      <c r="A164" s="1" t="s">
        <v>604</v>
      </c>
      <c r="B164" s="1" t="s">
        <v>605</v>
      </c>
      <c r="C164" s="1" t="s">
        <v>32</v>
      </c>
      <c r="D164" s="1" t="s">
        <v>98</v>
      </c>
      <c r="E164" s="1" t="s">
        <v>12</v>
      </c>
      <c r="F164" s="1" t="s">
        <v>13</v>
      </c>
      <c r="G164" s="1" t="s">
        <v>606</v>
      </c>
      <c r="H164" s="1"/>
    </row>
    <row r="165" ht="15.75" customHeight="1" spans="1:8" x14ac:dyDescent="0.25">
      <c r="A165" s="1" t="s">
        <v>607</v>
      </c>
      <c r="B165" s="1" t="s">
        <v>608</v>
      </c>
      <c r="C165" s="1" t="s">
        <v>37</v>
      </c>
      <c r="D165" s="1" t="s">
        <v>98</v>
      </c>
      <c r="E165" s="1" t="s">
        <v>12</v>
      </c>
      <c r="F165" s="1" t="s">
        <v>13</v>
      </c>
      <c r="G165" s="1" t="s">
        <v>609</v>
      </c>
      <c r="H165" s="1" t="s">
        <v>42</v>
      </c>
    </row>
    <row r="166" ht="15.75" customHeight="1" spans="1:8" x14ac:dyDescent="0.25">
      <c r="A166" s="1" t="s">
        <v>610</v>
      </c>
      <c r="B166" s="1" t="s">
        <v>611</v>
      </c>
      <c r="C166" s="1" t="s">
        <v>37</v>
      </c>
      <c r="D166" s="1" t="s">
        <v>98</v>
      </c>
      <c r="E166" s="1" t="s">
        <v>12</v>
      </c>
      <c r="F166" s="1" t="s">
        <v>13</v>
      </c>
      <c r="G166" s="1" t="s">
        <v>612</v>
      </c>
      <c r="H166" s="1"/>
    </row>
    <row r="167" ht="15.75" customHeight="1" spans="1:8" x14ac:dyDescent="0.25">
      <c r="A167" s="1" t="s">
        <v>616</v>
      </c>
      <c r="B167" s="1" t="s">
        <v>617</v>
      </c>
      <c r="C167" s="1" t="s">
        <v>37</v>
      </c>
      <c r="D167" s="1" t="s">
        <v>98</v>
      </c>
      <c r="E167" s="1" t="s">
        <v>12</v>
      </c>
      <c r="F167" s="1" t="s">
        <v>13</v>
      </c>
      <c r="G167" s="1" t="s">
        <v>618</v>
      </c>
      <c r="H167" s="1"/>
    </row>
    <row r="168" ht="15.75" customHeight="1" spans="1:8" x14ac:dyDescent="0.25">
      <c r="A168" s="1" t="s">
        <v>619</v>
      </c>
      <c r="B168" s="1" t="s">
        <v>620</v>
      </c>
      <c r="C168" s="1" t="s">
        <v>37</v>
      </c>
      <c r="D168" s="1" t="s">
        <v>98</v>
      </c>
      <c r="E168" s="1" t="s">
        <v>12</v>
      </c>
      <c r="F168" s="1" t="s">
        <v>13</v>
      </c>
      <c r="G168" s="1" t="s">
        <v>621</v>
      </c>
      <c r="H168" s="1"/>
    </row>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paperSize="9"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zoomScale="100" zoomScaleNormal="100"/>
  </sheetViews>
  <sheetFormatPr defaultRowHeight="15" outlineLevelRow="0" outlineLevelCol="0" x14ac:dyDescent="0" defaultColWidth="11.22"/>
  <cols>
    <col min="1" max="6" width="11.22" customWidth="1"/>
    <col min="8" max="8" width="60" customWidth="1"/>
  </cols>
  <sheetData>
    <row r="1" ht="15" customHeight="1" spans="1:8" x14ac:dyDescent="0.25">
      <c r="A1" s="1" t="s">
        <v>0</v>
      </c>
      <c r="B1" s="1" t="s">
        <v>1</v>
      </c>
      <c r="C1" s="1" t="s">
        <v>2</v>
      </c>
      <c r="D1" s="1" t="s">
        <v>3</v>
      </c>
      <c r="E1" s="1" t="s">
        <v>4</v>
      </c>
      <c r="F1" s="1" t="s">
        <v>5</v>
      </c>
      <c r="G1" s="1" t="s">
        <v>6</v>
      </c>
      <c r="H1" s="1" t="s">
        <v>7</v>
      </c>
    </row>
    <row r="2" ht="15" customHeight="1" spans="1:8" x14ac:dyDescent="0.25">
      <c r="A2" s="1" t="s">
        <v>570</v>
      </c>
      <c r="B2" s="1" t="s">
        <v>571</v>
      </c>
      <c r="C2" s="1" t="s">
        <v>21</v>
      </c>
      <c r="D2" s="1" t="s">
        <v>98</v>
      </c>
      <c r="E2" s="1" t="s">
        <v>572</v>
      </c>
      <c r="F2" s="1" t="s">
        <v>13</v>
      </c>
      <c r="G2" s="1" t="s">
        <v>573</v>
      </c>
      <c r="H2" s="1" t="s">
        <v>574</v>
      </c>
    </row>
    <row r="3" ht="15" customHeight="1" spans="1:7" x14ac:dyDescent="0.25">
      <c r="A3" s="1"/>
      <c r="B3" s="1"/>
      <c r="C3" s="1"/>
      <c r="D3" s="1"/>
      <c r="E3" s="1"/>
      <c r="F3" s="1"/>
      <c r="G3" s="1"/>
    </row>
    <row r="4" ht="15" customHeight="1" spans="1:7" x14ac:dyDescent="0.25">
      <c r="A4" s="1"/>
      <c r="B4" s="1"/>
      <c r="C4" s="1"/>
      <c r="D4" s="1"/>
      <c r="E4" s="1"/>
      <c r="F4" s="1"/>
      <c r="G4" s="1"/>
    </row>
    <row r="5" ht="15" customHeight="1" spans="1:7" x14ac:dyDescent="0.25">
      <c r="A5" s="1"/>
      <c r="B5" s="1"/>
      <c r="C5" s="1"/>
      <c r="D5" s="1"/>
      <c r="E5" s="1"/>
      <c r="F5" s="1"/>
      <c r="G5" s="1"/>
    </row>
    <row r="6" ht="15" customHeight="1" spans="1:7" x14ac:dyDescent="0.25">
      <c r="A6" s="1"/>
      <c r="B6" s="1"/>
      <c r="C6" s="1"/>
      <c r="D6" s="1"/>
      <c r="E6" s="1"/>
      <c r="F6" s="1"/>
      <c r="G6" s="1"/>
    </row>
    <row r="7" ht="15" customHeight="1" spans="1:7" x14ac:dyDescent="0.25">
      <c r="A7" s="1"/>
      <c r="B7" s="1"/>
      <c r="C7" s="1"/>
      <c r="D7" s="1"/>
      <c r="E7" s="1"/>
      <c r="F7" s="1"/>
      <c r="G7" s="1"/>
    </row>
    <row r="8" ht="15" customHeight="1" spans="1:7" x14ac:dyDescent="0.25">
      <c r="A8" s="1"/>
      <c r="B8" s="1"/>
      <c r="C8" s="1"/>
      <c r="D8" s="1"/>
      <c r="E8" s="1"/>
      <c r="F8" s="1"/>
      <c r="G8" s="1"/>
    </row>
    <row r="9" ht="15" customHeight="1" spans="1:7" x14ac:dyDescent="0.25">
      <c r="A9" s="1"/>
      <c r="B9" s="1"/>
      <c r="C9" s="1"/>
      <c r="D9" s="1"/>
      <c r="E9" s="1"/>
      <c r="F9" s="1"/>
      <c r="G9" s="1"/>
    </row>
    <row r="10" ht="15" customHeight="1" spans="1:7" x14ac:dyDescent="0.25">
      <c r="A10" s="1"/>
      <c r="B10" s="1"/>
      <c r="C10" s="1"/>
      <c r="D10" s="1"/>
      <c r="E10" s="1"/>
      <c r="F10" s="1"/>
      <c r="G10" s="1"/>
    </row>
    <row r="11" ht="15" customHeight="1" spans="1:7" x14ac:dyDescent="0.25">
      <c r="A11" s="1"/>
      <c r="B11" s="1"/>
      <c r="C11" s="1"/>
      <c r="D11" s="1"/>
      <c r="E11" s="1"/>
      <c r="F11" s="1"/>
      <c r="G11" s="1"/>
    </row>
    <row r="12" ht="15" customHeight="1" spans="1:7" x14ac:dyDescent="0.25">
      <c r="A12" s="1"/>
      <c r="B12" s="1"/>
      <c r="C12" s="1"/>
      <c r="D12" s="1"/>
      <c r="E12" s="1"/>
      <c r="F12" s="1"/>
      <c r="G12" s="1"/>
    </row>
    <row r="13" ht="15" customHeight="1" spans="1:7" x14ac:dyDescent="0.25">
      <c r="A13" s="1"/>
      <c r="B13" s="1"/>
      <c r="C13" s="1"/>
      <c r="D13" s="1"/>
      <c r="E13" s="1"/>
      <c r="F13" s="1"/>
      <c r="G13" s="1"/>
    </row>
    <row r="14" ht="15" customHeight="1" spans="1:7" x14ac:dyDescent="0.25">
      <c r="A14" s="1"/>
      <c r="B14" s="1"/>
      <c r="C14" s="1"/>
      <c r="D14" s="1"/>
      <c r="E14" s="1"/>
      <c r="F14" s="1"/>
      <c r="G14" s="1"/>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paperSize="9"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workbookViewId="0" zoomScale="100" zoomScaleNormal="100"/>
  </sheetViews>
  <sheetFormatPr defaultRowHeight="15" outlineLevelRow="0" outlineLevelCol="0" x14ac:dyDescent="0" defaultColWidth="11.22"/>
  <cols>
    <col min="1" max="1" width="8.44" customWidth="1"/>
    <col min="2" max="2" width="6.11" customWidth="1"/>
    <col min="3" max="3" width="21.78" customWidth="1"/>
    <col min="4" max="4" width="10.11" customWidth="1"/>
    <col min="5" max="5" width="7.56" customWidth="1"/>
    <col min="6" max="6" width="9.89" customWidth="1"/>
    <col min="7" max="7" width="40.67" customWidth="1"/>
    <col min="8" max="8" width="46.67" customWidth="1"/>
    <col min="9" max="9" width="44.78" customWidth="1"/>
    <col min="10" max="10" width="21.56" customWidth="1"/>
    <col min="11" max="11" width="80.33" customWidth="1"/>
    <col min="12" max="12" width="90" customWidth="1"/>
    <col min="13" max="13" width="38" customWidth="1"/>
    <col min="14" max="14" width="22" customWidth="1"/>
    <col min="15" max="15" width="30" customWidth="1"/>
    <col min="16" max="16" width="80" customWidth="1"/>
    <col min="17" max="17" width="30" customWidth="1"/>
  </cols>
  <sheetData>
    <row r="1" ht="29.25" customHeight="1" spans="1:26" x14ac:dyDescent="0.25">
      <c r="A1" s="9" t="s">
        <v>0</v>
      </c>
      <c r="B1" s="9" t="s">
        <v>1</v>
      </c>
      <c r="C1" s="9" t="s">
        <v>2</v>
      </c>
      <c r="D1" s="9" t="s">
        <v>3</v>
      </c>
      <c r="E1" s="9" t="s">
        <v>4</v>
      </c>
      <c r="F1" s="9" t="s">
        <v>5</v>
      </c>
      <c r="G1" s="9" t="s">
        <v>6</v>
      </c>
      <c r="H1" s="9" t="s">
        <v>664</v>
      </c>
      <c r="I1" s="9" t="s">
        <v>665</v>
      </c>
      <c r="J1" s="9" t="s">
        <v>622</v>
      </c>
      <c r="K1" s="9" t="s">
        <v>666</v>
      </c>
      <c r="L1" s="9" t="s">
        <v>667</v>
      </c>
      <c r="M1" s="9" t="s">
        <v>668</v>
      </c>
      <c r="N1" s="9" t="s">
        <v>669</v>
      </c>
      <c r="O1" s="9" t="s">
        <v>670</v>
      </c>
      <c r="P1" s="9" t="s">
        <v>671</v>
      </c>
      <c r="Q1" s="9" t="s">
        <v>647</v>
      </c>
      <c r="R1" s="10"/>
      <c r="S1" s="10"/>
      <c r="T1" s="10"/>
      <c r="U1" s="10"/>
      <c r="V1" s="10"/>
      <c r="W1" s="10"/>
      <c r="X1" s="10"/>
      <c r="Y1" s="10"/>
      <c r="Z1" s="10"/>
    </row>
    <row r="2" ht="143.25" customHeight="1" spans="1:26" x14ac:dyDescent="0.25">
      <c r="A2" s="9" t="s">
        <v>90</v>
      </c>
      <c r="B2" s="9" t="s">
        <v>91</v>
      </c>
      <c r="C2" s="9" t="s">
        <v>28</v>
      </c>
      <c r="D2" s="9" t="s">
        <v>11</v>
      </c>
      <c r="E2" s="9" t="s">
        <v>92</v>
      </c>
      <c r="F2" s="9" t="s">
        <v>93</v>
      </c>
      <c r="G2" s="9" t="s">
        <v>672</v>
      </c>
      <c r="H2" s="9" t="s">
        <v>673</v>
      </c>
      <c r="I2" s="9" t="s">
        <v>674</v>
      </c>
      <c r="J2" s="9" t="s">
        <v>625</v>
      </c>
      <c r="K2" s="9" t="s">
        <v>675</v>
      </c>
      <c r="L2" s="11" t="s">
        <v>676</v>
      </c>
      <c r="M2" s="12" t="s">
        <v>635</v>
      </c>
      <c r="N2" s="11" t="s">
        <v>677</v>
      </c>
      <c r="O2" s="12" t="s">
        <v>653</v>
      </c>
      <c r="P2" s="11" t="s">
        <v>678</v>
      </c>
      <c r="Q2" s="12" t="s">
        <v>655</v>
      </c>
      <c r="R2" s="10"/>
      <c r="S2" s="10"/>
      <c r="T2" s="10"/>
      <c r="U2" s="10"/>
      <c r="V2" s="10"/>
      <c r="W2" s="10"/>
      <c r="X2" s="10"/>
      <c r="Y2" s="10"/>
      <c r="Z2" s="10"/>
    </row>
    <row r="3" ht="100.5" customHeight="1" spans="1:26" x14ac:dyDescent="0.25">
      <c r="A3" s="9" t="s">
        <v>95</v>
      </c>
      <c r="B3" s="9" t="s">
        <v>96</v>
      </c>
      <c r="C3" s="9" t="s">
        <v>97</v>
      </c>
      <c r="D3" s="9" t="s">
        <v>98</v>
      </c>
      <c r="E3" s="9" t="s">
        <v>92</v>
      </c>
      <c r="F3" s="9" t="s">
        <v>93</v>
      </c>
      <c r="G3" s="9" t="s">
        <v>679</v>
      </c>
      <c r="H3" s="9" t="s">
        <v>673</v>
      </c>
      <c r="I3" s="9" t="s">
        <v>674</v>
      </c>
      <c r="J3" s="9" t="s">
        <v>625</v>
      </c>
      <c r="K3" s="9" t="s">
        <v>680</v>
      </c>
      <c r="L3" s="11" t="s">
        <v>681</v>
      </c>
      <c r="M3" s="12" t="s">
        <v>635</v>
      </c>
      <c r="N3" s="11" t="s">
        <v>682</v>
      </c>
      <c r="O3" s="12" t="s">
        <v>653</v>
      </c>
      <c r="P3" s="11" t="s">
        <v>683</v>
      </c>
      <c r="Q3" s="12" t="s">
        <v>655</v>
      </c>
      <c r="R3" s="10"/>
      <c r="S3" s="10"/>
      <c r="T3" s="10"/>
      <c r="U3" s="10"/>
      <c r="V3" s="10"/>
      <c r="W3" s="10"/>
      <c r="X3" s="10"/>
      <c r="Y3" s="10"/>
      <c r="Z3" s="10"/>
    </row>
    <row r="4" ht="171" customHeight="1" spans="1:26" x14ac:dyDescent="0.25">
      <c r="A4" s="9" t="s">
        <v>134</v>
      </c>
      <c r="B4" s="9" t="s">
        <v>135</v>
      </c>
      <c r="C4" s="9" t="s">
        <v>127</v>
      </c>
      <c r="D4" s="9" t="s">
        <v>98</v>
      </c>
      <c r="E4" s="9" t="s">
        <v>92</v>
      </c>
      <c r="F4" s="9" t="s">
        <v>93</v>
      </c>
      <c r="G4" s="9" t="s">
        <v>684</v>
      </c>
      <c r="H4" s="9" t="s">
        <v>685</v>
      </c>
      <c r="I4" s="9" t="s">
        <v>686</v>
      </c>
      <c r="J4" s="9" t="s">
        <v>627</v>
      </c>
      <c r="K4" s="9" t="s">
        <v>687</v>
      </c>
      <c r="L4" s="11" t="s">
        <v>688</v>
      </c>
      <c r="M4" s="12" t="s">
        <v>635</v>
      </c>
      <c r="N4" s="11" t="s">
        <v>677</v>
      </c>
      <c r="O4" s="12" t="s">
        <v>653</v>
      </c>
      <c r="P4" s="11" t="s">
        <v>689</v>
      </c>
      <c r="Q4" s="12" t="s">
        <v>655</v>
      </c>
      <c r="R4" s="10"/>
      <c r="S4" s="10"/>
      <c r="T4" s="10"/>
      <c r="U4" s="10"/>
      <c r="V4" s="10"/>
      <c r="W4" s="10"/>
      <c r="X4" s="10"/>
      <c r="Y4" s="10"/>
      <c r="Z4" s="10"/>
    </row>
    <row r="5" ht="100.5" customHeight="1" spans="1:26" x14ac:dyDescent="0.25">
      <c r="A5" s="9" t="s">
        <v>176</v>
      </c>
      <c r="B5" s="9" t="s">
        <v>177</v>
      </c>
      <c r="C5" s="9" t="s">
        <v>127</v>
      </c>
      <c r="D5" s="9" t="s">
        <v>98</v>
      </c>
      <c r="E5" s="9" t="s">
        <v>92</v>
      </c>
      <c r="F5" s="9" t="s">
        <v>93</v>
      </c>
      <c r="G5" s="9" t="s">
        <v>679</v>
      </c>
      <c r="H5" s="9" t="s">
        <v>673</v>
      </c>
      <c r="I5" s="9" t="s">
        <v>674</v>
      </c>
      <c r="J5" s="9" t="s">
        <v>625</v>
      </c>
      <c r="K5" s="9" t="s">
        <v>690</v>
      </c>
      <c r="L5" s="11" t="s">
        <v>691</v>
      </c>
      <c r="M5" s="13" t="s">
        <v>637</v>
      </c>
      <c r="N5" s="11" t="s">
        <v>93</v>
      </c>
      <c r="O5" s="13" t="s">
        <v>659</v>
      </c>
      <c r="P5" s="11" t="s">
        <v>692</v>
      </c>
      <c r="Q5" s="13" t="s">
        <v>661</v>
      </c>
      <c r="R5" s="10"/>
      <c r="S5" s="10"/>
      <c r="T5" s="10"/>
      <c r="U5" s="10"/>
      <c r="V5" s="10"/>
      <c r="W5" s="10"/>
      <c r="X5" s="10"/>
      <c r="Y5" s="10"/>
      <c r="Z5" s="10"/>
    </row>
    <row r="6" ht="143.25" customHeight="1" spans="1:26" x14ac:dyDescent="0.25">
      <c r="A6" s="9" t="s">
        <v>191</v>
      </c>
      <c r="B6" s="9" t="s">
        <v>192</v>
      </c>
      <c r="C6" s="9" t="s">
        <v>10</v>
      </c>
      <c r="D6" s="9" t="s">
        <v>142</v>
      </c>
      <c r="E6" s="9" t="s">
        <v>92</v>
      </c>
      <c r="F6" s="9" t="s">
        <v>93</v>
      </c>
      <c r="G6" s="9" t="s">
        <v>672</v>
      </c>
      <c r="H6" s="9" t="s">
        <v>673</v>
      </c>
      <c r="I6" s="9" t="s">
        <v>674</v>
      </c>
      <c r="J6" s="9" t="s">
        <v>625</v>
      </c>
      <c r="K6" s="9" t="s">
        <v>693</v>
      </c>
      <c r="L6" s="11" t="s">
        <v>694</v>
      </c>
      <c r="M6" s="12" t="s">
        <v>635</v>
      </c>
      <c r="N6" s="11" t="s">
        <v>677</v>
      </c>
      <c r="O6" s="12" t="s">
        <v>653</v>
      </c>
      <c r="P6" s="11" t="s">
        <v>695</v>
      </c>
      <c r="Q6" s="12" t="s">
        <v>655</v>
      </c>
      <c r="R6" s="10"/>
      <c r="S6" s="10"/>
      <c r="T6" s="10"/>
      <c r="U6" s="10"/>
      <c r="V6" s="10"/>
      <c r="W6" s="10"/>
      <c r="X6" s="10"/>
      <c r="Y6" s="10"/>
      <c r="Z6" s="10"/>
    </row>
    <row r="7" ht="143.25" customHeight="1" spans="1:26" x14ac:dyDescent="0.25">
      <c r="A7" s="9" t="s">
        <v>206</v>
      </c>
      <c r="B7" s="9" t="s">
        <v>207</v>
      </c>
      <c r="C7" s="9" t="s">
        <v>165</v>
      </c>
      <c r="D7" s="9" t="s">
        <v>98</v>
      </c>
      <c r="E7" s="9" t="s">
        <v>92</v>
      </c>
      <c r="F7" s="9" t="s">
        <v>93</v>
      </c>
      <c r="G7" s="9" t="s">
        <v>672</v>
      </c>
      <c r="H7" s="9" t="s">
        <v>673</v>
      </c>
      <c r="I7" s="9" t="s">
        <v>674</v>
      </c>
      <c r="J7" s="9" t="s">
        <v>625</v>
      </c>
      <c r="K7" s="9" t="s">
        <v>696</v>
      </c>
      <c r="L7" s="11" t="s">
        <v>697</v>
      </c>
      <c r="M7" s="13" t="s">
        <v>637</v>
      </c>
      <c r="N7" s="11" t="s">
        <v>93</v>
      </c>
      <c r="O7" s="13" t="s">
        <v>659</v>
      </c>
      <c r="P7" s="11" t="s">
        <v>698</v>
      </c>
      <c r="Q7" s="13" t="s">
        <v>661</v>
      </c>
      <c r="R7" s="10"/>
      <c r="S7" s="10"/>
      <c r="T7" s="10"/>
      <c r="U7" s="10"/>
      <c r="V7" s="10"/>
      <c r="W7" s="10"/>
      <c r="X7" s="10"/>
      <c r="Y7" s="10"/>
      <c r="Z7" s="10"/>
    </row>
    <row r="8" ht="100.5" customHeight="1" spans="1:26" x14ac:dyDescent="0.25">
      <c r="A8" s="9" t="s">
        <v>261</v>
      </c>
      <c r="B8" s="9" t="s">
        <v>262</v>
      </c>
      <c r="C8" s="9" t="s">
        <v>186</v>
      </c>
      <c r="D8" s="9" t="s">
        <v>98</v>
      </c>
      <c r="E8" s="9" t="s">
        <v>92</v>
      </c>
      <c r="F8" s="9" t="s">
        <v>93</v>
      </c>
      <c r="G8" s="9" t="s">
        <v>699</v>
      </c>
      <c r="H8" s="9" t="s">
        <v>685</v>
      </c>
      <c r="I8" s="9" t="s">
        <v>686</v>
      </c>
      <c r="J8" s="9" t="s">
        <v>627</v>
      </c>
      <c r="K8" s="9" t="s">
        <v>700</v>
      </c>
      <c r="L8" s="11" t="s">
        <v>701</v>
      </c>
      <c r="M8" s="13" t="s">
        <v>637</v>
      </c>
      <c r="N8" s="11" t="s">
        <v>93</v>
      </c>
      <c r="O8" s="13" t="s">
        <v>659</v>
      </c>
      <c r="P8" s="11" t="s">
        <v>702</v>
      </c>
      <c r="Q8" s="13" t="s">
        <v>661</v>
      </c>
      <c r="R8" s="10"/>
      <c r="S8" s="10"/>
      <c r="T8" s="10"/>
      <c r="U8" s="10"/>
      <c r="V8" s="10"/>
      <c r="W8" s="10"/>
      <c r="X8" s="10"/>
      <c r="Y8" s="10"/>
      <c r="Z8" s="10"/>
    </row>
    <row r="9" ht="100.5" customHeight="1" spans="1:26" x14ac:dyDescent="0.25">
      <c r="A9" s="9" t="s">
        <v>264</v>
      </c>
      <c r="B9" s="9" t="s">
        <v>265</v>
      </c>
      <c r="C9" s="9" t="s">
        <v>266</v>
      </c>
      <c r="D9" s="9" t="s">
        <v>98</v>
      </c>
      <c r="E9" s="9" t="s">
        <v>92</v>
      </c>
      <c r="F9" s="9" t="s">
        <v>93</v>
      </c>
      <c r="G9" s="9" t="s">
        <v>679</v>
      </c>
      <c r="H9" s="9" t="s">
        <v>673</v>
      </c>
      <c r="I9" s="9" t="s">
        <v>674</v>
      </c>
      <c r="J9" s="9" t="s">
        <v>625</v>
      </c>
      <c r="K9" s="9" t="s">
        <v>703</v>
      </c>
      <c r="L9" s="11" t="s">
        <v>704</v>
      </c>
      <c r="M9" s="12" t="s">
        <v>635</v>
      </c>
      <c r="N9" s="11" t="s">
        <v>705</v>
      </c>
      <c r="O9" s="12" t="s">
        <v>653</v>
      </c>
      <c r="P9" s="11" t="s">
        <v>706</v>
      </c>
      <c r="Q9" s="12" t="s">
        <v>655</v>
      </c>
      <c r="R9" s="10"/>
      <c r="S9" s="10"/>
      <c r="T9" s="10"/>
      <c r="U9" s="10"/>
      <c r="V9" s="10"/>
      <c r="W9" s="10"/>
      <c r="X9" s="10"/>
      <c r="Y9" s="10"/>
      <c r="Z9" s="10"/>
    </row>
    <row r="10" ht="100.5" customHeight="1" spans="1:26" x14ac:dyDescent="0.25">
      <c r="A10" s="9" t="s">
        <v>267</v>
      </c>
      <c r="B10" s="9" t="s">
        <v>268</v>
      </c>
      <c r="C10" s="9" t="s">
        <v>269</v>
      </c>
      <c r="D10" s="9" t="s">
        <v>98</v>
      </c>
      <c r="E10" s="9" t="s">
        <v>92</v>
      </c>
      <c r="F10" s="9" t="s">
        <v>93</v>
      </c>
      <c r="G10" s="9" t="s">
        <v>679</v>
      </c>
      <c r="H10" s="9" t="s">
        <v>673</v>
      </c>
      <c r="I10" s="9" t="s">
        <v>674</v>
      </c>
      <c r="J10" s="9" t="s">
        <v>625</v>
      </c>
      <c r="K10" s="9" t="s">
        <v>707</v>
      </c>
      <c r="L10" s="11" t="s">
        <v>708</v>
      </c>
      <c r="M10" s="13" t="s">
        <v>637</v>
      </c>
      <c r="N10" s="11" t="s">
        <v>93</v>
      </c>
      <c r="O10" s="13" t="s">
        <v>659</v>
      </c>
      <c r="P10" s="11" t="s">
        <v>709</v>
      </c>
      <c r="Q10" s="13" t="s">
        <v>661</v>
      </c>
      <c r="R10" s="10"/>
      <c r="S10" s="10"/>
      <c r="T10" s="10"/>
      <c r="U10" s="10"/>
      <c r="V10" s="10"/>
      <c r="W10" s="10"/>
      <c r="X10" s="10"/>
      <c r="Y10" s="10"/>
      <c r="Z10" s="10"/>
    </row>
    <row r="11" ht="100.5" customHeight="1" spans="1:26" x14ac:dyDescent="0.25">
      <c r="A11" s="9" t="s">
        <v>285</v>
      </c>
      <c r="B11" s="9" t="s">
        <v>286</v>
      </c>
      <c r="C11" s="9" t="s">
        <v>10</v>
      </c>
      <c r="D11" s="9" t="s">
        <v>142</v>
      </c>
      <c r="E11" s="9" t="s">
        <v>92</v>
      </c>
      <c r="F11" s="9" t="s">
        <v>93</v>
      </c>
      <c r="G11" s="9" t="s">
        <v>710</v>
      </c>
      <c r="H11" s="9" t="s">
        <v>685</v>
      </c>
      <c r="I11" s="9" t="s">
        <v>686</v>
      </c>
      <c r="J11" s="9" t="s">
        <v>627</v>
      </c>
      <c r="K11" s="9" t="s">
        <v>711</v>
      </c>
      <c r="L11" s="11" t="s">
        <v>712</v>
      </c>
      <c r="M11" s="12" t="s">
        <v>635</v>
      </c>
      <c r="N11" s="11" t="s">
        <v>677</v>
      </c>
      <c r="O11" s="12" t="s">
        <v>653</v>
      </c>
      <c r="P11" s="11" t="s">
        <v>713</v>
      </c>
      <c r="Q11" s="12" t="s">
        <v>655</v>
      </c>
      <c r="R11" s="10"/>
      <c r="S11" s="10"/>
      <c r="T11" s="10"/>
      <c r="U11" s="10"/>
      <c r="V11" s="10"/>
      <c r="W11" s="10"/>
      <c r="X11" s="10"/>
      <c r="Y11" s="10"/>
      <c r="Z11" s="10"/>
    </row>
    <row r="12" ht="100.5" customHeight="1" spans="1:26" x14ac:dyDescent="0.25">
      <c r="A12" s="9" t="s">
        <v>317</v>
      </c>
      <c r="B12" s="9" t="s">
        <v>318</v>
      </c>
      <c r="C12" s="9" t="s">
        <v>319</v>
      </c>
      <c r="D12" s="9" t="s">
        <v>98</v>
      </c>
      <c r="E12" s="9" t="s">
        <v>92</v>
      </c>
      <c r="F12" s="9" t="s">
        <v>93</v>
      </c>
      <c r="G12" s="9" t="s">
        <v>679</v>
      </c>
      <c r="H12" s="9" t="s">
        <v>673</v>
      </c>
      <c r="I12" s="9" t="s">
        <v>674</v>
      </c>
      <c r="J12" s="9" t="s">
        <v>625</v>
      </c>
      <c r="K12" s="9" t="s">
        <v>714</v>
      </c>
      <c r="L12" s="11" t="s">
        <v>715</v>
      </c>
      <c r="M12" s="14" t="s">
        <v>639</v>
      </c>
      <c r="N12" s="11" t="s">
        <v>13</v>
      </c>
      <c r="O12" s="14" t="s">
        <v>648</v>
      </c>
      <c r="P12" s="11" t="s">
        <v>716</v>
      </c>
      <c r="Q12" s="14" t="s">
        <v>649</v>
      </c>
      <c r="R12" s="10"/>
      <c r="S12" s="10"/>
      <c r="T12" s="10"/>
      <c r="U12" s="10"/>
      <c r="V12" s="10"/>
      <c r="W12" s="10"/>
      <c r="X12" s="10"/>
      <c r="Y12" s="10"/>
      <c r="Z12" s="10"/>
    </row>
    <row r="13" ht="100.5" customHeight="1" spans="1:26" x14ac:dyDescent="0.25">
      <c r="A13" s="9" t="s">
        <v>320</v>
      </c>
      <c r="B13" s="9" t="s">
        <v>321</v>
      </c>
      <c r="C13" s="9" t="s">
        <v>319</v>
      </c>
      <c r="D13" s="9" t="s">
        <v>98</v>
      </c>
      <c r="E13" s="9" t="s">
        <v>92</v>
      </c>
      <c r="F13" s="9" t="s">
        <v>93</v>
      </c>
      <c r="G13" s="9" t="s">
        <v>679</v>
      </c>
      <c r="H13" s="9" t="s">
        <v>673</v>
      </c>
      <c r="I13" s="9" t="s">
        <v>674</v>
      </c>
      <c r="J13" s="9" t="s">
        <v>625</v>
      </c>
      <c r="K13" s="9" t="s">
        <v>717</v>
      </c>
      <c r="L13" s="11" t="s">
        <v>718</v>
      </c>
      <c r="M13" s="13" t="s">
        <v>637</v>
      </c>
      <c r="N13" s="11" t="s">
        <v>93</v>
      </c>
      <c r="O13" s="13" t="s">
        <v>659</v>
      </c>
      <c r="P13" s="11" t="s">
        <v>719</v>
      </c>
      <c r="Q13" s="13" t="s">
        <v>661</v>
      </c>
      <c r="R13" s="10"/>
      <c r="S13" s="10"/>
      <c r="T13" s="10"/>
      <c r="U13" s="10"/>
      <c r="V13" s="10"/>
      <c r="W13" s="10"/>
      <c r="X13" s="10"/>
      <c r="Y13" s="10"/>
      <c r="Z13" s="10"/>
    </row>
    <row r="14" ht="86.25" customHeight="1" spans="1:26" x14ac:dyDescent="0.25">
      <c r="A14" s="9" t="s">
        <v>322</v>
      </c>
      <c r="B14" s="9" t="s">
        <v>323</v>
      </c>
      <c r="C14" s="9" t="s">
        <v>319</v>
      </c>
      <c r="D14" s="9" t="s">
        <v>98</v>
      </c>
      <c r="E14" s="9" t="s">
        <v>92</v>
      </c>
      <c r="F14" s="9" t="s">
        <v>93</v>
      </c>
      <c r="G14" s="9" t="s">
        <v>720</v>
      </c>
      <c r="H14" s="9" t="s">
        <v>685</v>
      </c>
      <c r="I14" s="9" t="s">
        <v>686</v>
      </c>
      <c r="J14" s="9" t="s">
        <v>627</v>
      </c>
      <c r="K14" s="9" t="s">
        <v>721</v>
      </c>
      <c r="L14" s="11" t="s">
        <v>722</v>
      </c>
      <c r="M14" s="13" t="s">
        <v>637</v>
      </c>
      <c r="N14" s="11" t="s">
        <v>93</v>
      </c>
      <c r="O14" s="13" t="s">
        <v>659</v>
      </c>
      <c r="P14" s="11" t="s">
        <v>723</v>
      </c>
      <c r="Q14" s="13" t="s">
        <v>661</v>
      </c>
      <c r="R14" s="10"/>
      <c r="S14" s="10"/>
      <c r="T14" s="10"/>
      <c r="U14" s="10"/>
      <c r="V14" s="10"/>
      <c r="W14" s="10"/>
      <c r="X14" s="10"/>
      <c r="Y14" s="10"/>
      <c r="Z14" s="10"/>
    </row>
    <row r="15" ht="86.25" customHeight="1" spans="1:26" x14ac:dyDescent="0.25">
      <c r="A15" s="9" t="s">
        <v>325</v>
      </c>
      <c r="B15" s="9" t="s">
        <v>326</v>
      </c>
      <c r="C15" s="9" t="s">
        <v>269</v>
      </c>
      <c r="D15" s="9" t="s">
        <v>98</v>
      </c>
      <c r="E15" s="9" t="s">
        <v>92</v>
      </c>
      <c r="F15" s="9" t="s">
        <v>93</v>
      </c>
      <c r="G15" s="9" t="s">
        <v>720</v>
      </c>
      <c r="H15" s="9" t="s">
        <v>685</v>
      </c>
      <c r="I15" s="9" t="s">
        <v>686</v>
      </c>
      <c r="J15" s="9" t="s">
        <v>627</v>
      </c>
      <c r="K15" s="9" t="s">
        <v>724</v>
      </c>
      <c r="L15" s="11" t="s">
        <v>725</v>
      </c>
      <c r="M15" s="13" t="s">
        <v>637</v>
      </c>
      <c r="N15" s="11" t="s">
        <v>93</v>
      </c>
      <c r="O15" s="13" t="s">
        <v>659</v>
      </c>
      <c r="P15" s="11" t="s">
        <v>726</v>
      </c>
      <c r="Q15" s="13" t="s">
        <v>661</v>
      </c>
      <c r="R15" s="10"/>
      <c r="S15" s="10"/>
      <c r="T15" s="10"/>
      <c r="U15" s="10"/>
      <c r="V15" s="10"/>
      <c r="W15" s="10"/>
      <c r="X15" s="10"/>
      <c r="Y15" s="10"/>
      <c r="Z15" s="10"/>
    </row>
    <row r="16" ht="100.5" customHeight="1" spans="1:26" x14ac:dyDescent="0.25">
      <c r="A16" s="9" t="s">
        <v>330</v>
      </c>
      <c r="B16" s="9" t="s">
        <v>331</v>
      </c>
      <c r="C16" s="9" t="s">
        <v>269</v>
      </c>
      <c r="D16" s="9" t="s">
        <v>98</v>
      </c>
      <c r="E16" s="9" t="s">
        <v>92</v>
      </c>
      <c r="F16" s="9" t="s">
        <v>93</v>
      </c>
      <c r="G16" s="9" t="s">
        <v>679</v>
      </c>
      <c r="H16" s="9" t="s">
        <v>673</v>
      </c>
      <c r="I16" s="9" t="s">
        <v>674</v>
      </c>
      <c r="J16" s="9" t="s">
        <v>625</v>
      </c>
      <c r="K16" s="9" t="s">
        <v>727</v>
      </c>
      <c r="L16" s="11" t="s">
        <v>728</v>
      </c>
      <c r="M16" s="12" t="s">
        <v>635</v>
      </c>
      <c r="N16" s="11" t="s">
        <v>729</v>
      </c>
      <c r="O16" s="15" t="s">
        <v>656</v>
      </c>
      <c r="P16" s="11" t="s">
        <v>730</v>
      </c>
      <c r="Q16" s="15" t="s">
        <v>658</v>
      </c>
      <c r="R16" s="10"/>
      <c r="S16" s="10"/>
      <c r="T16" s="10"/>
      <c r="U16" s="10"/>
      <c r="V16" s="10"/>
      <c r="W16" s="10"/>
      <c r="X16" s="10"/>
      <c r="Y16" s="10"/>
      <c r="Z16" s="10"/>
    </row>
    <row r="17" ht="114.75" customHeight="1" spans="1:26" x14ac:dyDescent="0.25">
      <c r="A17" s="9" t="s">
        <v>332</v>
      </c>
      <c r="B17" s="9" t="s">
        <v>333</v>
      </c>
      <c r="C17" s="9" t="s">
        <v>269</v>
      </c>
      <c r="D17" s="9" t="s">
        <v>98</v>
      </c>
      <c r="E17" s="9" t="s">
        <v>92</v>
      </c>
      <c r="F17" s="9" t="s">
        <v>93</v>
      </c>
      <c r="G17" s="9" t="s">
        <v>731</v>
      </c>
      <c r="H17" s="9" t="s">
        <v>673</v>
      </c>
      <c r="I17" s="9" t="s">
        <v>674</v>
      </c>
      <c r="J17" s="9" t="s">
        <v>625</v>
      </c>
      <c r="K17" s="9" t="s">
        <v>732</v>
      </c>
      <c r="L17" s="11" t="s">
        <v>733</v>
      </c>
      <c r="M17" s="13" t="s">
        <v>637</v>
      </c>
      <c r="N17" s="11" t="s">
        <v>729</v>
      </c>
      <c r="O17" s="15" t="s">
        <v>656</v>
      </c>
      <c r="P17" s="11" t="s">
        <v>734</v>
      </c>
      <c r="Q17" s="15" t="s">
        <v>658</v>
      </c>
      <c r="R17" s="10"/>
      <c r="S17" s="10"/>
      <c r="T17" s="10"/>
      <c r="U17" s="10"/>
      <c r="V17" s="10"/>
      <c r="W17" s="10"/>
      <c r="X17" s="10"/>
      <c r="Y17" s="10"/>
      <c r="Z17" s="10"/>
    </row>
    <row r="18" ht="86.25" customHeight="1" spans="1:26" x14ac:dyDescent="0.25">
      <c r="A18" s="9" t="s">
        <v>335</v>
      </c>
      <c r="B18" s="9" t="s">
        <v>336</v>
      </c>
      <c r="C18" s="9" t="s">
        <v>337</v>
      </c>
      <c r="D18" s="9" t="s">
        <v>98</v>
      </c>
      <c r="E18" s="9" t="s">
        <v>92</v>
      </c>
      <c r="F18" s="9" t="s">
        <v>93</v>
      </c>
      <c r="G18" s="9" t="s">
        <v>720</v>
      </c>
      <c r="H18" s="9" t="s">
        <v>685</v>
      </c>
      <c r="I18" s="9" t="s">
        <v>686</v>
      </c>
      <c r="J18" s="9" t="s">
        <v>627</v>
      </c>
      <c r="K18" s="9" t="s">
        <v>735</v>
      </c>
      <c r="L18" s="11" t="s">
        <v>736</v>
      </c>
      <c r="M18" s="13" t="s">
        <v>637</v>
      </c>
      <c r="N18" s="11" t="s">
        <v>93</v>
      </c>
      <c r="O18" s="13" t="s">
        <v>659</v>
      </c>
      <c r="P18" s="11" t="s">
        <v>737</v>
      </c>
      <c r="Q18" s="13" t="s">
        <v>661</v>
      </c>
      <c r="R18" s="10"/>
      <c r="S18" s="10"/>
      <c r="T18" s="10"/>
      <c r="U18" s="10"/>
      <c r="V18" s="10"/>
      <c r="W18" s="10"/>
      <c r="X18" s="10"/>
      <c r="Y18" s="10"/>
      <c r="Z18" s="10"/>
    </row>
    <row r="19" ht="100.5" customHeight="1" spans="1:26" x14ac:dyDescent="0.25">
      <c r="A19" s="9" t="s">
        <v>338</v>
      </c>
      <c r="B19" s="9" t="s">
        <v>339</v>
      </c>
      <c r="C19" s="9" t="s">
        <v>337</v>
      </c>
      <c r="D19" s="9" t="s">
        <v>98</v>
      </c>
      <c r="E19" s="9" t="s">
        <v>92</v>
      </c>
      <c r="F19" s="9" t="s">
        <v>93</v>
      </c>
      <c r="G19" s="9" t="s">
        <v>710</v>
      </c>
      <c r="H19" s="9" t="s">
        <v>685</v>
      </c>
      <c r="I19" s="9" t="s">
        <v>686</v>
      </c>
      <c r="J19" s="9" t="s">
        <v>627</v>
      </c>
      <c r="K19" s="9" t="s">
        <v>738</v>
      </c>
      <c r="L19" s="11" t="s">
        <v>739</v>
      </c>
      <c r="M19" s="12" t="s">
        <v>635</v>
      </c>
      <c r="N19" s="11" t="s">
        <v>677</v>
      </c>
      <c r="O19" s="12" t="s">
        <v>653</v>
      </c>
      <c r="P19" s="11" t="s">
        <v>740</v>
      </c>
      <c r="Q19" s="12" t="s">
        <v>655</v>
      </c>
      <c r="R19" s="10"/>
      <c r="S19" s="10"/>
      <c r="T19" s="10"/>
      <c r="U19" s="10"/>
      <c r="V19" s="10"/>
      <c r="W19" s="10"/>
      <c r="X19" s="10"/>
      <c r="Y19" s="10"/>
      <c r="Z19" s="10"/>
    </row>
    <row r="20" ht="15.75" customHeight="1" spans="1:26" x14ac:dyDescent="0.25">
      <c r="A20" s="9" t="s">
        <v>341</v>
      </c>
      <c r="B20" s="9" t="s">
        <v>342</v>
      </c>
      <c r="C20" s="9" t="s">
        <v>337</v>
      </c>
      <c r="D20" s="9" t="s">
        <v>98</v>
      </c>
      <c r="E20" s="9" t="s">
        <v>92</v>
      </c>
      <c r="F20" s="9" t="s">
        <v>93</v>
      </c>
      <c r="G20" s="9" t="s">
        <v>741</v>
      </c>
      <c r="H20" s="9" t="s">
        <v>673</v>
      </c>
      <c r="I20" s="9" t="s">
        <v>674</v>
      </c>
      <c r="J20" s="9" t="s">
        <v>625</v>
      </c>
      <c r="K20" s="9" t="s">
        <v>742</v>
      </c>
      <c r="L20" s="11" t="s">
        <v>743</v>
      </c>
      <c r="M20" s="15" t="s">
        <v>641</v>
      </c>
      <c r="N20" s="11" t="s">
        <v>744</v>
      </c>
      <c r="O20" s="15" t="s">
        <v>656</v>
      </c>
      <c r="P20" s="11" t="s">
        <v>745</v>
      </c>
      <c r="Q20" s="15" t="s">
        <v>658</v>
      </c>
      <c r="R20" s="10"/>
      <c r="S20" s="10"/>
      <c r="T20" s="10"/>
      <c r="U20" s="10"/>
      <c r="V20" s="10"/>
      <c r="W20" s="10"/>
      <c r="X20" s="10"/>
      <c r="Y20" s="10"/>
      <c r="Z20" s="10"/>
    </row>
    <row r="21" ht="15.75" customHeight="1" spans="1:26" x14ac:dyDescent="0.25">
      <c r="A21" s="9" t="s">
        <v>344</v>
      </c>
      <c r="B21" s="9" t="s">
        <v>345</v>
      </c>
      <c r="C21" s="9" t="s">
        <v>337</v>
      </c>
      <c r="D21" s="9" t="s">
        <v>98</v>
      </c>
      <c r="E21" s="9" t="s">
        <v>92</v>
      </c>
      <c r="F21" s="9" t="s">
        <v>93</v>
      </c>
      <c r="G21" s="9" t="s">
        <v>720</v>
      </c>
      <c r="H21" s="9" t="s">
        <v>685</v>
      </c>
      <c r="I21" s="9" t="s">
        <v>686</v>
      </c>
      <c r="J21" s="9" t="s">
        <v>627</v>
      </c>
      <c r="K21" s="9" t="s">
        <v>746</v>
      </c>
      <c r="L21" s="11" t="s">
        <v>747</v>
      </c>
      <c r="M21" s="13" t="s">
        <v>637</v>
      </c>
      <c r="N21" s="11" t="s">
        <v>93</v>
      </c>
      <c r="O21" s="13" t="s">
        <v>659</v>
      </c>
      <c r="P21" s="11" t="s">
        <v>748</v>
      </c>
      <c r="Q21" s="13" t="s">
        <v>661</v>
      </c>
      <c r="R21" s="10"/>
      <c r="S21" s="10"/>
      <c r="T21" s="10"/>
      <c r="U21" s="10"/>
      <c r="V21" s="10"/>
      <c r="W21" s="10"/>
      <c r="X21" s="10"/>
      <c r="Y21" s="10"/>
      <c r="Z21" s="10"/>
    </row>
    <row r="22" ht="15.75" customHeight="1" spans="1:26" x14ac:dyDescent="0.25">
      <c r="A22" s="9" t="s">
        <v>613</v>
      </c>
      <c r="B22" s="9" t="s">
        <v>614</v>
      </c>
      <c r="C22" s="9" t="s">
        <v>37</v>
      </c>
      <c r="D22" s="9" t="s">
        <v>98</v>
      </c>
      <c r="E22" s="9" t="s">
        <v>92</v>
      </c>
      <c r="F22" s="9" t="s">
        <v>93</v>
      </c>
      <c r="G22" s="9" t="s">
        <v>615</v>
      </c>
      <c r="H22" s="9" t="s">
        <v>749</v>
      </c>
      <c r="I22" s="9" t="s">
        <v>750</v>
      </c>
      <c r="J22" s="9" t="s">
        <v>629</v>
      </c>
      <c r="K22" s="9" t="s">
        <v>751</v>
      </c>
      <c r="L22" s="11" t="s">
        <v>752</v>
      </c>
      <c r="M22" s="12" t="s">
        <v>635</v>
      </c>
      <c r="N22" s="11" t="s">
        <v>677</v>
      </c>
      <c r="O22" s="12" t="s">
        <v>653</v>
      </c>
      <c r="P22" s="11" t="s">
        <v>753</v>
      </c>
      <c r="Q22" s="12" t="s">
        <v>655</v>
      </c>
      <c r="R22" s="10"/>
      <c r="S22" s="10"/>
      <c r="T22" s="10"/>
      <c r="U22" s="10"/>
      <c r="V22" s="10"/>
      <c r="W22" s="10"/>
      <c r="X22" s="10"/>
      <c r="Y22" s="10"/>
      <c r="Z22" s="10"/>
    </row>
    <row r="23" ht="15.75" customHeight="1" spans="1:26"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spans="1:26"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spans="1:2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spans="1:26"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spans="1:2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spans="1:26"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spans="1:2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spans="1:2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spans="1:2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spans="1:2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spans="1:2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spans="1:2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spans="1:2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spans="1:2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spans="1:2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spans="1:2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spans="1:2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spans="1:2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spans="1:2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spans="1:2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spans="1:2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spans="1:2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spans="1:2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spans="1:2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spans="1:26"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spans="1:26"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spans="1:26"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spans="1:26"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spans="1:26"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spans="1:26"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spans="1:26"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spans="1:26"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spans="1:26"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spans="1:26"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spans="1:26"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spans="1:26"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spans="1:26"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spans="1:26"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spans="1:26"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spans="1:26"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spans="1:26"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spans="1:26"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spans="1:26"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spans="1:26"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spans="1:13" x14ac:dyDescent="0.25">
      <c r="A223" s="1"/>
      <c r="B223" s="1"/>
      <c r="C223" s="1"/>
      <c r="D223" s="1"/>
      <c r="E223" s="1"/>
      <c r="F223" s="1"/>
      <c r="G223" s="1"/>
      <c r="H223" s="1"/>
      <c r="I223" s="1"/>
      <c r="J223" s="1"/>
      <c r="K223" s="1"/>
      <c r="L223" s="1"/>
      <c r="M223" s="1"/>
    </row>
    <row r="224" ht="15.75" customHeight="1" spans="1:13" x14ac:dyDescent="0.25">
      <c r="A224" s="1"/>
      <c r="B224" s="1"/>
      <c r="C224" s="1"/>
      <c r="D224" s="1"/>
      <c r="E224" s="1"/>
      <c r="F224" s="1"/>
      <c r="G224" s="1"/>
      <c r="H224" s="1"/>
      <c r="I224" s="1"/>
      <c r="J224" s="1"/>
      <c r="K224" s="1"/>
      <c r="L224" s="1"/>
      <c r="M224" s="1"/>
    </row>
    <row r="225" ht="15.75" customHeight="1" spans="1:13" x14ac:dyDescent="0.25">
      <c r="A225" s="1"/>
      <c r="B225" s="1"/>
      <c r="C225" s="1"/>
      <c r="D225" s="1"/>
      <c r="E225" s="1"/>
      <c r="F225" s="1"/>
      <c r="G225" s="1"/>
      <c r="H225" s="1"/>
      <c r="I225" s="1"/>
      <c r="J225" s="1"/>
      <c r="K225" s="1"/>
      <c r="L225" s="1"/>
      <c r="M225" s="1"/>
    </row>
    <row r="226" ht="15.75" customHeight="1" spans="1:13" x14ac:dyDescent="0.25">
      <c r="A226" s="1"/>
      <c r="B226" s="1"/>
      <c r="C226" s="1"/>
      <c r="D226" s="1"/>
      <c r="E226" s="1"/>
      <c r="F226" s="1"/>
      <c r="G226" s="1"/>
      <c r="H226" s="1"/>
      <c r="I226" s="1"/>
      <c r="J226" s="1"/>
      <c r="K226" s="1"/>
      <c r="L226" s="1"/>
      <c r="M226" s="1"/>
    </row>
    <row r="227" ht="15.75" customHeight="1" spans="1:13" x14ac:dyDescent="0.25">
      <c r="A227" s="1"/>
      <c r="B227" s="1"/>
      <c r="C227" s="1"/>
      <c r="D227" s="1"/>
      <c r="E227" s="1"/>
      <c r="F227" s="1"/>
      <c r="G227" s="1"/>
      <c r="H227" s="1"/>
      <c r="I227" s="1"/>
      <c r="J227" s="1"/>
      <c r="K227" s="1"/>
      <c r="L227" s="1"/>
      <c r="M227" s="1"/>
    </row>
    <row r="228" ht="15.75" customHeight="1" spans="1:13" x14ac:dyDescent="0.25">
      <c r="A228" s="1"/>
      <c r="B228" s="1"/>
      <c r="C228" s="1"/>
      <c r="D228" s="1"/>
      <c r="E228" s="1"/>
      <c r="F228" s="1"/>
      <c r="G228" s="1"/>
      <c r="H228" s="1"/>
      <c r="I228" s="1"/>
      <c r="J228" s="1"/>
      <c r="K228" s="1"/>
      <c r="L228" s="1"/>
      <c r="M228" s="1"/>
    </row>
    <row r="229" ht="15.75" customHeight="1" spans="1:13" x14ac:dyDescent="0.25">
      <c r="A229" s="1"/>
      <c r="B229" s="1"/>
      <c r="C229" s="1"/>
      <c r="D229" s="1"/>
      <c r="E229" s="1"/>
      <c r="F229" s="1"/>
      <c r="G229" s="1"/>
      <c r="H229" s="1"/>
      <c r="I229" s="1"/>
      <c r="J229" s="1"/>
      <c r="K229" s="1"/>
      <c r="L229" s="1"/>
      <c r="M229" s="1"/>
    </row>
    <row r="230" ht="15.75" customHeight="1" spans="1:13" x14ac:dyDescent="0.25">
      <c r="A230" s="1"/>
      <c r="B230" s="1"/>
      <c r="C230" s="1"/>
      <c r="D230" s="1"/>
      <c r="E230" s="1"/>
      <c r="F230" s="1"/>
      <c r="G230" s="1"/>
      <c r="H230" s="1"/>
      <c r="I230" s="1"/>
      <c r="J230" s="1"/>
      <c r="K230" s="1"/>
      <c r="L230" s="1"/>
      <c r="M230" s="1"/>
    </row>
    <row r="231" ht="15.75" customHeight="1" spans="1:13" x14ac:dyDescent="0.25">
      <c r="A231" s="1"/>
      <c r="B231" s="1"/>
      <c r="C231" s="1"/>
      <c r="D231" s="1"/>
      <c r="E231" s="1"/>
      <c r="F231" s="1"/>
      <c r="G231" s="1"/>
      <c r="H231" s="1"/>
      <c r="I231" s="1"/>
      <c r="J231" s="1"/>
      <c r="K231" s="1"/>
      <c r="L231" s="1"/>
      <c r="M231" s="1"/>
    </row>
    <row r="232" ht="15.75" customHeight="1" spans="1:13" x14ac:dyDescent="0.25">
      <c r="A232" s="1"/>
      <c r="B232" s="1"/>
      <c r="C232" s="1"/>
      <c r="D232" s="1"/>
      <c r="E232" s="1"/>
      <c r="F232" s="1"/>
      <c r="G232" s="1"/>
      <c r="H232" s="1"/>
      <c r="I232" s="1"/>
      <c r="J232" s="1"/>
      <c r="K232" s="1"/>
      <c r="L232" s="1"/>
      <c r="M232" s="1"/>
    </row>
    <row r="233" ht="15.75" customHeight="1" spans="1:13" x14ac:dyDescent="0.25">
      <c r="A233" s="1"/>
      <c r="B233" s="1"/>
      <c r="C233" s="1"/>
      <c r="D233" s="1"/>
      <c r="E233" s="1"/>
      <c r="F233" s="1"/>
      <c r="G233" s="1"/>
      <c r="H233" s="1"/>
      <c r="I233" s="1"/>
      <c r="J233" s="1"/>
      <c r="K233" s="1"/>
      <c r="L233" s="1"/>
      <c r="M233" s="1"/>
    </row>
    <row r="234" ht="15.75" customHeight="1" spans="1:13" x14ac:dyDescent="0.25">
      <c r="A234" s="1"/>
      <c r="B234" s="1"/>
      <c r="C234" s="1"/>
      <c r="D234" s="1"/>
      <c r="E234" s="1"/>
      <c r="F234" s="1"/>
      <c r="G234" s="1"/>
      <c r="H234" s="1"/>
      <c r="I234" s="1"/>
      <c r="J234" s="1"/>
      <c r="K234" s="1"/>
      <c r="L234" s="1"/>
      <c r="M234" s="1"/>
    </row>
    <row r="235" ht="15.75" customHeight="1" spans="1:13" x14ac:dyDescent="0.25">
      <c r="A235" s="1"/>
      <c r="B235" s="1"/>
      <c r="C235" s="1"/>
      <c r="D235" s="1"/>
      <c r="E235" s="1"/>
      <c r="F235" s="1"/>
      <c r="G235" s="1"/>
      <c r="H235" s="1"/>
      <c r="I235" s="1"/>
      <c r="J235" s="1"/>
      <c r="K235" s="1"/>
      <c r="L235" s="1"/>
      <c r="M235" s="1"/>
    </row>
    <row r="236" ht="15.75" customHeight="1" spans="1:13" x14ac:dyDescent="0.25">
      <c r="A236" s="1"/>
      <c r="B236" s="1"/>
      <c r="C236" s="1"/>
      <c r="D236" s="1"/>
      <c r="E236" s="1"/>
      <c r="F236" s="1"/>
      <c r="G236" s="1"/>
      <c r="H236" s="1"/>
      <c r="I236" s="1"/>
      <c r="J236" s="1"/>
      <c r="K236" s="1"/>
      <c r="L236" s="1"/>
      <c r="M236" s="1"/>
    </row>
    <row r="237" ht="15.75" customHeight="1" spans="1:13" x14ac:dyDescent="0.25">
      <c r="A237" s="1"/>
      <c r="B237" s="1"/>
      <c r="C237" s="1"/>
      <c r="D237" s="1"/>
      <c r="E237" s="1"/>
      <c r="F237" s="1"/>
      <c r="G237" s="1"/>
      <c r="H237" s="1"/>
      <c r="I237" s="1"/>
      <c r="J237" s="1"/>
      <c r="K237" s="1"/>
      <c r="L237" s="1"/>
      <c r="M237" s="1"/>
    </row>
    <row r="238" ht="15.75" customHeight="1" spans="1:13" x14ac:dyDescent="0.25">
      <c r="A238" s="1"/>
      <c r="B238" s="1"/>
      <c r="C238" s="1"/>
      <c r="D238" s="1"/>
      <c r="E238" s="1"/>
      <c r="F238" s="1"/>
      <c r="G238" s="1"/>
      <c r="H238" s="1"/>
      <c r="I238" s="1"/>
      <c r="J238" s="1"/>
      <c r="K238" s="1"/>
      <c r="L238" s="1"/>
      <c r="M238" s="1"/>
    </row>
    <row r="239" ht="15.75" customHeight="1" spans="1:13" x14ac:dyDescent="0.25">
      <c r="A239" s="1"/>
      <c r="B239" s="1"/>
      <c r="C239" s="1"/>
      <c r="D239" s="1"/>
      <c r="E239" s="1"/>
      <c r="F239" s="1"/>
      <c r="G239" s="1"/>
      <c r="H239" s="1"/>
      <c r="I239" s="1"/>
      <c r="J239" s="1"/>
      <c r="K239" s="1"/>
      <c r="L239" s="1"/>
      <c r="M239" s="1"/>
    </row>
    <row r="240" ht="15.75" customHeight="1" spans="1:13" x14ac:dyDescent="0.25">
      <c r="A240" s="1"/>
      <c r="B240" s="1"/>
      <c r="C240" s="1"/>
      <c r="D240" s="1"/>
      <c r="E240" s="1"/>
      <c r="F240" s="1"/>
      <c r="G240" s="1"/>
      <c r="H240" s="1"/>
      <c r="I240" s="1"/>
      <c r="J240" s="1"/>
      <c r="K240" s="1"/>
      <c r="L240" s="1"/>
      <c r="M240" s="1"/>
    </row>
    <row r="241" ht="15.75" customHeight="1" spans="1:13" x14ac:dyDescent="0.25">
      <c r="A241" s="1"/>
      <c r="B241" s="1"/>
      <c r="C241" s="1"/>
      <c r="D241" s="1"/>
      <c r="E241" s="1"/>
      <c r="F241" s="1"/>
      <c r="G241" s="1"/>
      <c r="H241" s="1"/>
      <c r="I241" s="1"/>
      <c r="J241" s="1"/>
      <c r="K241" s="1"/>
      <c r="L241" s="1"/>
      <c r="M241" s="1"/>
    </row>
    <row r="242" ht="15.75" customHeight="1" spans="1:13" x14ac:dyDescent="0.25">
      <c r="A242" s="1"/>
      <c r="B242" s="1"/>
      <c r="C242" s="1"/>
      <c r="D242" s="1"/>
      <c r="E242" s="1"/>
      <c r="F242" s="1"/>
      <c r="G242" s="1"/>
      <c r="H242" s="1"/>
      <c r="I242" s="1"/>
      <c r="J242" s="1"/>
      <c r="K242" s="1"/>
      <c r="L242" s="1"/>
      <c r="M242" s="1"/>
    </row>
    <row r="243" ht="15.75" customHeight="1" spans="1:13" x14ac:dyDescent="0.25">
      <c r="A243" s="1"/>
      <c r="B243" s="1"/>
      <c r="C243" s="1"/>
      <c r="D243" s="1"/>
      <c r="E243" s="1"/>
      <c r="F243" s="1"/>
      <c r="G243" s="1"/>
      <c r="H243" s="1"/>
      <c r="I243" s="1"/>
      <c r="J243" s="1"/>
      <c r="K243" s="1"/>
      <c r="L243" s="1"/>
      <c r="M243" s="1"/>
    </row>
    <row r="244" ht="15.75" customHeight="1" spans="1:13" x14ac:dyDescent="0.25">
      <c r="A244" s="1"/>
      <c r="B244" s="1"/>
      <c r="C244" s="1"/>
      <c r="D244" s="1"/>
      <c r="E244" s="1"/>
      <c r="F244" s="1"/>
      <c r="G244" s="1"/>
      <c r="H244" s="1"/>
      <c r="I244" s="1"/>
      <c r="J244" s="1"/>
      <c r="K244" s="1"/>
      <c r="L244" s="1"/>
      <c r="M244" s="1"/>
    </row>
    <row r="245" ht="15.75" customHeight="1" spans="1:13" x14ac:dyDescent="0.25">
      <c r="A245" s="1"/>
      <c r="B245" s="1"/>
      <c r="C245" s="1"/>
      <c r="D245" s="1"/>
      <c r="E245" s="1"/>
      <c r="F245" s="1"/>
      <c r="G245" s="1"/>
      <c r="H245" s="1"/>
      <c r="I245" s="1"/>
      <c r="J245" s="1"/>
      <c r="K245" s="1"/>
      <c r="L245" s="1"/>
      <c r="M245" s="1"/>
    </row>
    <row r="246" ht="15.75" customHeight="1" spans="1:13" x14ac:dyDescent="0.25">
      <c r="A246" s="1"/>
      <c r="B246" s="1"/>
      <c r="C246" s="1"/>
      <c r="D246" s="1"/>
      <c r="E246" s="1"/>
      <c r="F246" s="1"/>
      <c r="G246" s="1"/>
      <c r="H246" s="1"/>
      <c r="I246" s="1"/>
      <c r="J246" s="1"/>
      <c r="K246" s="1"/>
      <c r="L246" s="1"/>
      <c r="M246" s="1"/>
    </row>
    <row r="247" ht="15.75" customHeight="1" spans="1:13" x14ac:dyDescent="0.25">
      <c r="A247" s="1"/>
      <c r="B247" s="1"/>
      <c r="C247" s="1"/>
      <c r="D247" s="1"/>
      <c r="E247" s="1"/>
      <c r="F247" s="1"/>
      <c r="G247" s="1"/>
      <c r="H247" s="1"/>
      <c r="I247" s="1"/>
      <c r="J247" s="1"/>
      <c r="K247" s="1"/>
      <c r="L247" s="1"/>
      <c r="M247" s="1"/>
    </row>
    <row r="248" ht="15.75" customHeight="1" spans="1:13" x14ac:dyDescent="0.25">
      <c r="A248" s="1"/>
      <c r="B248" s="1"/>
      <c r="C248" s="1"/>
      <c r="D248" s="1"/>
      <c r="E248" s="1"/>
      <c r="F248" s="1"/>
      <c r="G248" s="1"/>
      <c r="H248" s="1"/>
      <c r="I248" s="1"/>
      <c r="J248" s="1"/>
      <c r="K248" s="1"/>
      <c r="L248" s="1"/>
      <c r="M248" s="1"/>
    </row>
    <row r="249" ht="15.75" customHeight="1" spans="1:13" x14ac:dyDescent="0.25">
      <c r="A249" s="1"/>
      <c r="B249" s="1"/>
      <c r="C249" s="1"/>
      <c r="D249" s="1"/>
      <c r="E249" s="1"/>
      <c r="F249" s="1"/>
      <c r="G249" s="1"/>
      <c r="H249" s="1"/>
      <c r="I249" s="1"/>
      <c r="J249" s="1"/>
      <c r="K249" s="1"/>
      <c r="L249" s="1"/>
      <c r="M249" s="1"/>
    </row>
    <row r="250" ht="15.75" customHeight="1" spans="1:13" x14ac:dyDescent="0.25">
      <c r="A250" s="1"/>
      <c r="B250" s="1"/>
      <c r="C250" s="1"/>
      <c r="D250" s="1"/>
      <c r="E250" s="1"/>
      <c r="F250" s="1"/>
      <c r="G250" s="1"/>
      <c r="H250" s="1"/>
      <c r="I250" s="1"/>
      <c r="J250" s="1"/>
      <c r="K250" s="1"/>
      <c r="L250" s="1"/>
      <c r="M250" s="1"/>
    </row>
    <row r="251" ht="15.75" customHeight="1" spans="1:13" x14ac:dyDescent="0.25">
      <c r="A251" s="1"/>
      <c r="B251" s="1"/>
      <c r="C251" s="1"/>
      <c r="D251" s="1"/>
      <c r="E251" s="1"/>
      <c r="F251" s="1"/>
      <c r="G251" s="1"/>
      <c r="H251" s="1"/>
      <c r="I251" s="1"/>
      <c r="J251" s="1"/>
      <c r="K251" s="1"/>
      <c r="L251" s="1"/>
      <c r="M251" s="1"/>
    </row>
    <row r="252" ht="15.75" customHeight="1" spans="1:13" x14ac:dyDescent="0.25">
      <c r="A252" s="1"/>
      <c r="B252" s="1"/>
      <c r="C252" s="1"/>
      <c r="D252" s="1"/>
      <c r="E252" s="1"/>
      <c r="F252" s="1"/>
      <c r="G252" s="1"/>
      <c r="H252" s="1"/>
      <c r="I252" s="1"/>
      <c r="J252" s="1"/>
      <c r="K252" s="1"/>
      <c r="L252" s="1"/>
      <c r="M252" s="1"/>
    </row>
    <row r="253" ht="15.75" customHeight="1" spans="1:13" x14ac:dyDescent="0.25">
      <c r="A253" s="1"/>
      <c r="B253" s="1"/>
      <c r="C253" s="1"/>
      <c r="D253" s="1"/>
      <c r="E253" s="1"/>
      <c r="F253" s="1"/>
      <c r="G253" s="1"/>
      <c r="H253" s="1"/>
      <c r="I253" s="1"/>
      <c r="J253" s="1"/>
      <c r="K253" s="1"/>
      <c r="L253" s="1"/>
      <c r="M253" s="1"/>
    </row>
    <row r="254" ht="15.75" customHeight="1" spans="1:13" x14ac:dyDescent="0.25">
      <c r="A254" s="1"/>
      <c r="B254" s="1"/>
      <c r="C254" s="1"/>
      <c r="D254" s="1"/>
      <c r="E254" s="1"/>
      <c r="F254" s="1"/>
      <c r="G254" s="1"/>
      <c r="H254" s="1"/>
      <c r="I254" s="1"/>
      <c r="J254" s="1"/>
      <c r="K254" s="1"/>
      <c r="L254" s="1"/>
      <c r="M254" s="1"/>
    </row>
    <row r="255" ht="15.75" customHeight="1" spans="1:13" x14ac:dyDescent="0.25">
      <c r="A255" s="1"/>
      <c r="B255" s="1"/>
      <c r="C255" s="1"/>
      <c r="D255" s="1"/>
      <c r="E255" s="1"/>
      <c r="F255" s="1"/>
      <c r="G255" s="1"/>
      <c r="H255" s="1"/>
      <c r="I255" s="1"/>
      <c r="J255" s="1"/>
      <c r="K255" s="1"/>
      <c r="L255" s="1"/>
      <c r="M255" s="1"/>
    </row>
    <row r="256" ht="15.75" customHeight="1" spans="1:13" x14ac:dyDescent="0.25">
      <c r="A256" s="1"/>
      <c r="B256" s="1"/>
      <c r="C256" s="1"/>
      <c r="D256" s="1"/>
      <c r="E256" s="1"/>
      <c r="F256" s="1"/>
      <c r="G256" s="1"/>
      <c r="H256" s="1"/>
      <c r="I256" s="1"/>
      <c r="J256" s="1"/>
      <c r="K256" s="1"/>
      <c r="L256" s="1"/>
      <c r="M256" s="1"/>
    </row>
    <row r="257" ht="15.75" customHeight="1" spans="1:13" x14ac:dyDescent="0.25">
      <c r="A257" s="1"/>
      <c r="B257" s="1"/>
      <c r="C257" s="1"/>
      <c r="D257" s="1"/>
      <c r="E257" s="1"/>
      <c r="F257" s="1"/>
      <c r="G257" s="1"/>
      <c r="H257" s="1"/>
      <c r="I257" s="1"/>
      <c r="J257" s="1"/>
      <c r="K257" s="1"/>
      <c r="L257" s="1"/>
      <c r="M257" s="1"/>
    </row>
    <row r="258" ht="15.75" customHeight="1" spans="1:13" x14ac:dyDescent="0.25">
      <c r="A258" s="1"/>
      <c r="B258" s="1"/>
      <c r="C258" s="1"/>
      <c r="D258" s="1"/>
      <c r="E258" s="1"/>
      <c r="F258" s="1"/>
      <c r="G258" s="1"/>
      <c r="H258" s="1"/>
      <c r="I258" s="1"/>
      <c r="J258" s="1"/>
      <c r="K258" s="1"/>
      <c r="L258" s="1"/>
      <c r="M258" s="1"/>
    </row>
    <row r="259" ht="15.75" customHeight="1" spans="1:13" x14ac:dyDescent="0.25">
      <c r="A259" s="1"/>
      <c r="B259" s="1"/>
      <c r="C259" s="1"/>
      <c r="D259" s="1"/>
      <c r="E259" s="1"/>
      <c r="F259" s="1"/>
      <c r="G259" s="1"/>
      <c r="H259" s="1"/>
      <c r="I259" s="1"/>
      <c r="J259" s="1"/>
      <c r="K259" s="1"/>
      <c r="L259" s="1"/>
      <c r="M259" s="1"/>
    </row>
    <row r="260" ht="15.75" customHeight="1" spans="1:13" x14ac:dyDescent="0.25">
      <c r="A260" s="1"/>
      <c r="B260" s="1"/>
      <c r="C260" s="1"/>
      <c r="D260" s="1"/>
      <c r="E260" s="1"/>
      <c r="F260" s="1"/>
      <c r="G260" s="1"/>
      <c r="H260" s="1"/>
      <c r="I260" s="1"/>
      <c r="J260" s="1"/>
      <c r="K260" s="1"/>
      <c r="L260" s="1"/>
      <c r="M260" s="1"/>
    </row>
    <row r="261" ht="15.75" customHeight="1" spans="1:13" x14ac:dyDescent="0.25">
      <c r="A261" s="1"/>
      <c r="B261" s="1"/>
      <c r="C261" s="1"/>
      <c r="D261" s="1"/>
      <c r="E261" s="1"/>
      <c r="F261" s="1"/>
      <c r="G261" s="1"/>
      <c r="H261" s="1"/>
      <c r="I261" s="1"/>
      <c r="J261" s="1"/>
      <c r="K261" s="1"/>
      <c r="L261" s="1"/>
      <c r="M261" s="1"/>
    </row>
    <row r="262" ht="15.75" customHeight="1" spans="1:13" x14ac:dyDescent="0.25">
      <c r="A262" s="1"/>
      <c r="B262" s="1"/>
      <c r="C262" s="1"/>
      <c r="D262" s="1"/>
      <c r="E262" s="1"/>
      <c r="F262" s="1"/>
      <c r="G262" s="1"/>
      <c r="H262" s="1"/>
      <c r="I262" s="1"/>
      <c r="J262" s="1"/>
      <c r="K262" s="1"/>
      <c r="L262" s="1"/>
      <c r="M262" s="1"/>
    </row>
    <row r="263" ht="15.75" customHeight="1" spans="1:13" x14ac:dyDescent="0.25">
      <c r="A263" s="1"/>
      <c r="B263" s="1"/>
      <c r="C263" s="1"/>
      <c r="D263" s="1"/>
      <c r="E263" s="1"/>
      <c r="F263" s="1"/>
      <c r="G263" s="1"/>
      <c r="H263" s="1"/>
      <c r="I263" s="1"/>
      <c r="J263" s="1"/>
      <c r="K263" s="1"/>
      <c r="L263" s="1"/>
      <c r="M263" s="1"/>
    </row>
    <row r="264" ht="15.75" customHeight="1" spans="1:13" x14ac:dyDescent="0.25">
      <c r="A264" s="1"/>
      <c r="B264" s="1"/>
      <c r="C264" s="1"/>
      <c r="D264" s="1"/>
      <c r="E264" s="1"/>
      <c r="F264" s="1"/>
      <c r="G264" s="1"/>
      <c r="H264" s="1"/>
      <c r="I264" s="1"/>
      <c r="J264" s="1"/>
      <c r="K264" s="1"/>
      <c r="L264" s="1"/>
      <c r="M264" s="1"/>
    </row>
    <row r="265" ht="15.75" customHeight="1" spans="1:13" x14ac:dyDescent="0.25">
      <c r="A265" s="1"/>
      <c r="B265" s="1"/>
      <c r="C265" s="1"/>
      <c r="D265" s="1"/>
      <c r="E265" s="1"/>
      <c r="F265" s="1"/>
      <c r="G265" s="1"/>
      <c r="H265" s="1"/>
      <c r="I265" s="1"/>
      <c r="J265" s="1"/>
      <c r="K265" s="1"/>
      <c r="L265" s="1"/>
      <c r="M265" s="1"/>
    </row>
    <row r="266" ht="15.75" customHeight="1" spans="1:13" x14ac:dyDescent="0.25">
      <c r="A266" s="1"/>
      <c r="B266" s="1"/>
      <c r="C266" s="1"/>
      <c r="D266" s="1"/>
      <c r="E266" s="1"/>
      <c r="F266" s="1"/>
      <c r="G266" s="1"/>
      <c r="H266" s="1"/>
      <c r="I266" s="1"/>
      <c r="J266" s="1"/>
      <c r="K266" s="1"/>
      <c r="L266" s="1"/>
      <c r="M266" s="1"/>
    </row>
    <row r="267" ht="15.75" customHeight="1" spans="1:13" x14ac:dyDescent="0.25">
      <c r="A267" s="1"/>
      <c r="B267" s="1"/>
      <c r="C267" s="1"/>
      <c r="D267" s="1"/>
      <c r="E267" s="1"/>
      <c r="F267" s="1"/>
      <c r="G267" s="1"/>
      <c r="H267" s="1"/>
      <c r="I267" s="1"/>
      <c r="J267" s="1"/>
      <c r="K267" s="1"/>
      <c r="L267" s="1"/>
      <c r="M267" s="1"/>
    </row>
    <row r="268" ht="15.75" customHeight="1" spans="1:13" x14ac:dyDescent="0.25">
      <c r="A268" s="1"/>
      <c r="B268" s="1"/>
      <c r="C268" s="1"/>
      <c r="D268" s="1"/>
      <c r="E268" s="1"/>
      <c r="F268" s="1"/>
      <c r="G268" s="1"/>
      <c r="H268" s="1"/>
      <c r="I268" s="1"/>
      <c r="J268" s="1"/>
      <c r="K268" s="1"/>
      <c r="L268" s="1"/>
      <c r="M268" s="1"/>
    </row>
    <row r="269" ht="15.75" customHeight="1" spans="1:13" x14ac:dyDescent="0.25">
      <c r="A269" s="1"/>
      <c r="B269" s="1"/>
      <c r="C269" s="1"/>
      <c r="D269" s="1"/>
      <c r="E269" s="1"/>
      <c r="F269" s="1"/>
      <c r="G269" s="1"/>
      <c r="H269" s="1"/>
      <c r="I269" s="1"/>
      <c r="J269" s="1"/>
      <c r="K269" s="1"/>
      <c r="L269" s="1"/>
      <c r="M269" s="1"/>
    </row>
    <row r="270" ht="15.75" customHeight="1" spans="1:13" x14ac:dyDescent="0.25">
      <c r="A270" s="1"/>
      <c r="B270" s="1"/>
      <c r="C270" s="1"/>
      <c r="D270" s="1"/>
      <c r="E270" s="1"/>
      <c r="F270" s="1"/>
      <c r="G270" s="1"/>
      <c r="H270" s="1"/>
      <c r="I270" s="1"/>
      <c r="J270" s="1"/>
      <c r="K270" s="1"/>
      <c r="L270" s="1"/>
      <c r="M270" s="1"/>
    </row>
    <row r="271" ht="15.75" customHeight="1" spans="1:13" x14ac:dyDescent="0.25">
      <c r="A271" s="1"/>
      <c r="B271" s="1"/>
      <c r="C271" s="1"/>
      <c r="D271" s="1"/>
      <c r="E271" s="1"/>
      <c r="F271" s="1"/>
      <c r="G271" s="1"/>
      <c r="H271" s="1"/>
      <c r="I271" s="1"/>
      <c r="J271" s="1"/>
      <c r="K271" s="1"/>
      <c r="L271" s="1"/>
      <c r="M271" s="1"/>
    </row>
    <row r="272" ht="15.75" customHeight="1" spans="1:13" x14ac:dyDescent="0.25">
      <c r="A272" s="1"/>
      <c r="B272" s="1"/>
      <c r="C272" s="1"/>
      <c r="D272" s="1"/>
      <c r="E272" s="1"/>
      <c r="F272" s="1"/>
      <c r="G272" s="1"/>
      <c r="H272" s="1"/>
      <c r="I272" s="1"/>
      <c r="J272" s="1"/>
      <c r="K272" s="1"/>
      <c r="L272" s="1"/>
      <c r="M272" s="1"/>
    </row>
    <row r="273" ht="15.75" customHeight="1" spans="1:13" x14ac:dyDescent="0.25">
      <c r="A273" s="1"/>
      <c r="B273" s="1"/>
      <c r="C273" s="1"/>
      <c r="D273" s="1"/>
      <c r="E273" s="1"/>
      <c r="F273" s="1"/>
      <c r="G273" s="1"/>
      <c r="H273" s="1"/>
      <c r="I273" s="1"/>
      <c r="J273" s="1"/>
      <c r="K273" s="1"/>
      <c r="L273" s="1"/>
      <c r="M273" s="1"/>
    </row>
    <row r="274" ht="15.75" customHeight="1" spans="1:13" x14ac:dyDescent="0.25">
      <c r="A274" s="1"/>
      <c r="B274" s="1"/>
      <c r="C274" s="1"/>
      <c r="D274" s="1"/>
      <c r="E274" s="1"/>
      <c r="F274" s="1"/>
      <c r="G274" s="1"/>
      <c r="H274" s="1"/>
      <c r="I274" s="1"/>
      <c r="J274" s="1"/>
      <c r="K274" s="1"/>
      <c r="L274" s="1"/>
      <c r="M274" s="1"/>
    </row>
    <row r="275" ht="15.75" customHeight="1" spans="1:13" x14ac:dyDescent="0.25">
      <c r="A275" s="1"/>
      <c r="B275" s="1"/>
      <c r="C275" s="1"/>
      <c r="D275" s="1"/>
      <c r="E275" s="1"/>
      <c r="F275" s="1"/>
      <c r="G275" s="1"/>
      <c r="H275" s="1"/>
      <c r="I275" s="1"/>
      <c r="J275" s="1"/>
      <c r="K275" s="1"/>
      <c r="L275" s="1"/>
      <c r="M275" s="1"/>
    </row>
    <row r="276" ht="15.75" customHeight="1" spans="1:13" x14ac:dyDescent="0.25">
      <c r="A276" s="1"/>
      <c r="B276" s="1"/>
      <c r="C276" s="1"/>
      <c r="D276" s="1"/>
      <c r="E276" s="1"/>
      <c r="F276" s="1"/>
      <c r="G276" s="1"/>
      <c r="H276" s="1"/>
      <c r="I276" s="1"/>
      <c r="J276" s="1"/>
      <c r="K276" s="1"/>
      <c r="L276" s="1"/>
      <c r="M276" s="1"/>
    </row>
    <row r="277" ht="15.75" customHeight="1" spans="1:13" x14ac:dyDescent="0.25">
      <c r="A277" s="1"/>
      <c r="B277" s="1"/>
      <c r="C277" s="1"/>
      <c r="D277" s="1"/>
      <c r="E277" s="1"/>
      <c r="F277" s="1"/>
      <c r="G277" s="1"/>
      <c r="H277" s="1"/>
      <c r="I277" s="1"/>
      <c r="J277" s="1"/>
      <c r="K277" s="1"/>
      <c r="L277" s="1"/>
      <c r="M277" s="1"/>
    </row>
    <row r="278" ht="15.75" customHeight="1" spans="1:13" x14ac:dyDescent="0.25">
      <c r="A278" s="1"/>
      <c r="B278" s="1"/>
      <c r="C278" s="1"/>
      <c r="D278" s="1"/>
      <c r="E278" s="1"/>
      <c r="F278" s="1"/>
      <c r="G278" s="1"/>
      <c r="H278" s="1"/>
      <c r="I278" s="1"/>
      <c r="J278" s="1"/>
      <c r="K278" s="1"/>
      <c r="L278" s="1"/>
      <c r="M278" s="1"/>
    </row>
    <row r="279" ht="15.75" customHeight="1" spans="1:13" x14ac:dyDescent="0.25">
      <c r="A279" s="1"/>
      <c r="B279" s="1"/>
      <c r="C279" s="1"/>
      <c r="D279" s="1"/>
      <c r="E279" s="1"/>
      <c r="F279" s="1"/>
      <c r="G279" s="1"/>
      <c r="H279" s="1"/>
      <c r="I279" s="1"/>
      <c r="J279" s="1"/>
      <c r="K279" s="1"/>
      <c r="L279" s="1"/>
      <c r="M279" s="1"/>
    </row>
    <row r="280" ht="15.75" customHeight="1" spans="1:13" x14ac:dyDescent="0.25">
      <c r="A280" s="1"/>
      <c r="B280" s="1"/>
      <c r="C280" s="1"/>
      <c r="D280" s="1"/>
      <c r="E280" s="1"/>
      <c r="F280" s="1"/>
      <c r="G280" s="1"/>
      <c r="H280" s="1"/>
      <c r="I280" s="1"/>
      <c r="J280" s="1"/>
      <c r="K280" s="1"/>
      <c r="L280" s="1"/>
      <c r="M280" s="1"/>
    </row>
    <row r="281" ht="15.75" customHeight="1" spans="1:13" x14ac:dyDescent="0.25">
      <c r="A281" s="1"/>
      <c r="B281" s="1"/>
      <c r="C281" s="1"/>
      <c r="D281" s="1"/>
      <c r="E281" s="1"/>
      <c r="F281" s="1"/>
      <c r="G281" s="1"/>
      <c r="H281" s="1"/>
      <c r="I281" s="1"/>
      <c r="J281" s="1"/>
      <c r="K281" s="1"/>
      <c r="L281" s="1"/>
      <c r="M281" s="1"/>
    </row>
    <row r="282" ht="15.75" customHeight="1" spans="1:13" x14ac:dyDescent="0.25">
      <c r="A282" s="1"/>
      <c r="B282" s="1"/>
      <c r="C282" s="1"/>
      <c r="D282" s="1"/>
      <c r="E282" s="1"/>
      <c r="F282" s="1"/>
      <c r="G282" s="1"/>
      <c r="H282" s="1"/>
      <c r="I282" s="1"/>
      <c r="J282" s="1"/>
      <c r="K282" s="1"/>
      <c r="L282" s="1"/>
      <c r="M282" s="1"/>
    </row>
    <row r="283" ht="15.75" customHeight="1" spans="1:13" x14ac:dyDescent="0.25">
      <c r="A283" s="1"/>
      <c r="B283" s="1"/>
      <c r="C283" s="1"/>
      <c r="D283" s="1"/>
      <c r="E283" s="1"/>
      <c r="F283" s="1"/>
      <c r="G283" s="1"/>
      <c r="H283" s="1"/>
      <c r="I283" s="1"/>
      <c r="J283" s="1"/>
      <c r="K283" s="1"/>
      <c r="L283" s="1"/>
      <c r="M283" s="1"/>
    </row>
    <row r="284" ht="15.75" customHeight="1" spans="1:13" x14ac:dyDescent="0.25">
      <c r="A284" s="1"/>
      <c r="B284" s="1"/>
      <c r="C284" s="1"/>
      <c r="D284" s="1"/>
      <c r="E284" s="1"/>
      <c r="F284" s="1"/>
      <c r="G284" s="1"/>
      <c r="H284" s="1"/>
      <c r="I284" s="1"/>
      <c r="J284" s="1"/>
      <c r="K284" s="1"/>
      <c r="L284" s="1"/>
      <c r="M284" s="1"/>
    </row>
    <row r="285" ht="15.75" customHeight="1" spans="1:13" x14ac:dyDescent="0.25">
      <c r="A285" s="1"/>
      <c r="B285" s="1"/>
      <c r="C285" s="1"/>
      <c r="D285" s="1"/>
      <c r="E285" s="1"/>
      <c r="F285" s="1"/>
      <c r="G285" s="1"/>
      <c r="H285" s="1"/>
      <c r="I285" s="1"/>
      <c r="J285" s="1"/>
      <c r="K285" s="1"/>
      <c r="L285" s="1"/>
      <c r="M285" s="1"/>
    </row>
    <row r="286" ht="15.75" customHeight="1" spans="1:13" x14ac:dyDescent="0.25">
      <c r="A286" s="1"/>
      <c r="B286" s="1"/>
      <c r="C286" s="1"/>
      <c r="D286" s="1"/>
      <c r="E286" s="1"/>
      <c r="F286" s="1"/>
      <c r="G286" s="1"/>
      <c r="H286" s="1"/>
      <c r="I286" s="1"/>
      <c r="J286" s="1"/>
      <c r="K286" s="1"/>
      <c r="L286" s="1"/>
      <c r="M286" s="1"/>
    </row>
    <row r="287" ht="15.75" customHeight="1" spans="1:13" x14ac:dyDescent="0.25">
      <c r="A287" s="1"/>
      <c r="B287" s="1"/>
      <c r="C287" s="1"/>
      <c r="D287" s="1"/>
      <c r="E287" s="1"/>
      <c r="F287" s="1"/>
      <c r="G287" s="1"/>
      <c r="H287" s="1"/>
      <c r="I287" s="1"/>
      <c r="J287" s="1"/>
      <c r="K287" s="1"/>
      <c r="L287" s="1"/>
      <c r="M287" s="1"/>
    </row>
    <row r="288" ht="15.75" customHeight="1" spans="1:13" x14ac:dyDescent="0.25">
      <c r="A288" s="1"/>
      <c r="B288" s="1"/>
      <c r="C288" s="1"/>
      <c r="D288" s="1"/>
      <c r="E288" s="1"/>
      <c r="F288" s="1"/>
      <c r="G288" s="1"/>
      <c r="H288" s="1"/>
      <c r="I288" s="1"/>
      <c r="J288" s="1"/>
      <c r="K288" s="1"/>
      <c r="L288" s="1"/>
      <c r="M288" s="1"/>
    </row>
    <row r="289" ht="15.75" customHeight="1" spans="1:13" x14ac:dyDescent="0.25">
      <c r="A289" s="1"/>
      <c r="B289" s="1"/>
      <c r="C289" s="1"/>
      <c r="D289" s="1"/>
      <c r="E289" s="1"/>
      <c r="F289" s="1"/>
      <c r="G289" s="1"/>
      <c r="H289" s="1"/>
      <c r="I289" s="1"/>
      <c r="J289" s="1"/>
      <c r="K289" s="1"/>
      <c r="L289" s="1"/>
      <c r="M289" s="1"/>
    </row>
    <row r="290" ht="15.75" customHeight="1" spans="1:13" x14ac:dyDescent="0.25">
      <c r="A290" s="1"/>
      <c r="B290" s="1"/>
      <c r="C290" s="1"/>
      <c r="D290" s="1"/>
      <c r="E290" s="1"/>
      <c r="F290" s="1"/>
      <c r="G290" s="1"/>
      <c r="H290" s="1"/>
      <c r="I290" s="1"/>
      <c r="J290" s="1"/>
      <c r="K290" s="1"/>
      <c r="L290" s="1"/>
      <c r="M290" s="1"/>
    </row>
    <row r="291" ht="15.75" customHeight="1" spans="1:13" x14ac:dyDescent="0.25">
      <c r="A291" s="1"/>
      <c r="B291" s="1"/>
      <c r="C291" s="1"/>
      <c r="D291" s="1"/>
      <c r="E291" s="1"/>
      <c r="F291" s="1"/>
      <c r="G291" s="1"/>
      <c r="H291" s="1"/>
      <c r="I291" s="1"/>
      <c r="J291" s="1"/>
      <c r="K291" s="1"/>
      <c r="L291" s="1"/>
      <c r="M291" s="1"/>
    </row>
    <row r="292" ht="15.75" customHeight="1" spans="1:13" x14ac:dyDescent="0.25">
      <c r="A292" s="1"/>
      <c r="B292" s="1"/>
      <c r="C292" s="1"/>
      <c r="D292" s="1"/>
      <c r="E292" s="1"/>
      <c r="F292" s="1"/>
      <c r="G292" s="1"/>
      <c r="H292" s="1"/>
      <c r="I292" s="1"/>
      <c r="J292" s="1"/>
      <c r="K292" s="1"/>
      <c r="L292" s="1"/>
      <c r="M292" s="1"/>
    </row>
    <row r="293" ht="15.75" customHeight="1" spans="1:13" x14ac:dyDescent="0.25">
      <c r="A293" s="1"/>
      <c r="B293" s="1"/>
      <c r="C293" s="1"/>
      <c r="D293" s="1"/>
      <c r="E293" s="1"/>
      <c r="F293" s="1"/>
      <c r="G293" s="1"/>
      <c r="H293" s="1"/>
      <c r="I293" s="1"/>
      <c r="J293" s="1"/>
      <c r="K293" s="1"/>
      <c r="L293" s="1"/>
      <c r="M293" s="1"/>
    </row>
    <row r="294" ht="15.75" customHeight="1" spans="1:13" x14ac:dyDescent="0.25">
      <c r="A294" s="1"/>
      <c r="B294" s="1"/>
      <c r="C294" s="1"/>
      <c r="D294" s="1"/>
      <c r="E294" s="1"/>
      <c r="F294" s="1"/>
      <c r="G294" s="1"/>
      <c r="H294" s="1"/>
      <c r="I294" s="1"/>
      <c r="J294" s="1"/>
      <c r="K294" s="1"/>
      <c r="L294" s="1"/>
      <c r="M294" s="1"/>
    </row>
    <row r="295" ht="15.75" customHeight="1" spans="1:13" x14ac:dyDescent="0.25">
      <c r="A295" s="1"/>
      <c r="B295" s="1"/>
      <c r="C295" s="1"/>
      <c r="D295" s="1"/>
      <c r="E295" s="1"/>
      <c r="F295" s="1"/>
      <c r="G295" s="1"/>
      <c r="H295" s="1"/>
      <c r="I295" s="1"/>
      <c r="J295" s="1"/>
      <c r="K295" s="1"/>
      <c r="L295" s="1"/>
      <c r="M295" s="1"/>
    </row>
    <row r="296" ht="15.75" customHeight="1" spans="1:13" x14ac:dyDescent="0.25">
      <c r="A296" s="1"/>
      <c r="B296" s="1"/>
      <c r="C296" s="1"/>
      <c r="D296" s="1"/>
      <c r="E296" s="1"/>
      <c r="F296" s="1"/>
      <c r="G296" s="1"/>
      <c r="H296" s="1"/>
      <c r="I296" s="1"/>
      <c r="J296" s="1"/>
      <c r="K296" s="1"/>
      <c r="L296" s="1"/>
      <c r="M296" s="1"/>
    </row>
    <row r="297" ht="15.75" customHeight="1" spans="1:13" x14ac:dyDescent="0.25">
      <c r="A297" s="1"/>
      <c r="B297" s="1"/>
      <c r="C297" s="1"/>
      <c r="D297" s="1"/>
      <c r="E297" s="1"/>
      <c r="F297" s="1"/>
      <c r="G297" s="1"/>
      <c r="H297" s="1"/>
      <c r="I297" s="1"/>
      <c r="J297" s="1"/>
      <c r="K297" s="1"/>
      <c r="L297" s="1"/>
      <c r="M297" s="1"/>
    </row>
    <row r="298" ht="15.75" customHeight="1" spans="1:13" x14ac:dyDescent="0.25">
      <c r="A298" s="1"/>
      <c r="B298" s="1"/>
      <c r="C298" s="1"/>
      <c r="D298" s="1"/>
      <c r="E298" s="1"/>
      <c r="F298" s="1"/>
      <c r="G298" s="1"/>
      <c r="H298" s="1"/>
      <c r="I298" s="1"/>
      <c r="J298" s="1"/>
      <c r="K298" s="1"/>
      <c r="L298" s="1"/>
      <c r="M298" s="1"/>
    </row>
    <row r="299" ht="15.75" customHeight="1" spans="1:13" x14ac:dyDescent="0.25">
      <c r="A299" s="1"/>
      <c r="B299" s="1"/>
      <c r="C299" s="1"/>
      <c r="D299" s="1"/>
      <c r="E299" s="1"/>
      <c r="F299" s="1"/>
      <c r="G299" s="1"/>
      <c r="H299" s="1"/>
      <c r="I299" s="1"/>
      <c r="J299" s="1"/>
      <c r="K299" s="1"/>
      <c r="L299" s="1"/>
      <c r="M299" s="1"/>
    </row>
    <row r="300" ht="15.75" customHeight="1" spans="1:13" x14ac:dyDescent="0.25">
      <c r="A300" s="1"/>
      <c r="B300" s="1"/>
      <c r="C300" s="1"/>
      <c r="D300" s="1"/>
      <c r="E300" s="1"/>
      <c r="F300" s="1"/>
      <c r="G300" s="1"/>
      <c r="H300" s="1"/>
      <c r="I300" s="1"/>
      <c r="J300" s="1"/>
      <c r="K300" s="1"/>
      <c r="L300" s="1"/>
      <c r="M300" s="1"/>
    </row>
    <row r="301" ht="15.75" customHeight="1" spans="1:13" x14ac:dyDescent="0.25">
      <c r="A301" s="1"/>
      <c r="B301" s="1"/>
      <c r="C301" s="1"/>
      <c r="D301" s="1"/>
      <c r="E301" s="1"/>
      <c r="F301" s="1"/>
      <c r="G301" s="1"/>
      <c r="H301" s="1"/>
      <c r="I301" s="1"/>
      <c r="J301" s="1"/>
      <c r="K301" s="1"/>
      <c r="L301" s="1"/>
      <c r="M301" s="1"/>
    </row>
    <row r="302" ht="15.75" customHeight="1" spans="1:13" x14ac:dyDescent="0.25">
      <c r="A302" s="1"/>
      <c r="B302" s="1"/>
      <c r="C302" s="1"/>
      <c r="D302" s="1"/>
      <c r="E302" s="1"/>
      <c r="F302" s="1"/>
      <c r="G302" s="1"/>
      <c r="H302" s="1"/>
      <c r="I302" s="1"/>
      <c r="J302" s="1"/>
      <c r="K302" s="1"/>
      <c r="L302" s="1"/>
      <c r="M302" s="1"/>
    </row>
    <row r="303" ht="15.75" customHeight="1" spans="1:13" x14ac:dyDescent="0.25">
      <c r="A303" s="1"/>
      <c r="B303" s="1"/>
      <c r="C303" s="1"/>
      <c r="D303" s="1"/>
      <c r="E303" s="1"/>
      <c r="F303" s="1"/>
      <c r="G303" s="1"/>
      <c r="H303" s="1"/>
      <c r="I303" s="1"/>
      <c r="J303" s="1"/>
      <c r="K303" s="1"/>
      <c r="L303" s="1"/>
      <c r="M303" s="1"/>
    </row>
    <row r="304" ht="15.75" customHeight="1" spans="1:13" x14ac:dyDescent="0.25">
      <c r="A304" s="1"/>
      <c r="B304" s="1"/>
      <c r="C304" s="1"/>
      <c r="D304" s="1"/>
      <c r="E304" s="1"/>
      <c r="F304" s="1"/>
      <c r="G304" s="1"/>
      <c r="H304" s="1"/>
      <c r="I304" s="1"/>
      <c r="J304" s="1"/>
      <c r="K304" s="1"/>
      <c r="L304" s="1"/>
      <c r="M304" s="1"/>
    </row>
    <row r="305" ht="15.75" customHeight="1" spans="1:13" x14ac:dyDescent="0.25">
      <c r="A305" s="1"/>
      <c r="B305" s="1"/>
      <c r="C305" s="1"/>
      <c r="D305" s="1"/>
      <c r="E305" s="1"/>
      <c r="F305" s="1"/>
      <c r="G305" s="1"/>
      <c r="H305" s="1"/>
      <c r="I305" s="1"/>
      <c r="J305" s="1"/>
      <c r="K305" s="1"/>
      <c r="L305" s="1"/>
      <c r="M305" s="1"/>
    </row>
    <row r="306" ht="15.75" customHeight="1" spans="1:13" x14ac:dyDescent="0.25">
      <c r="A306" s="1"/>
      <c r="B306" s="1"/>
      <c r="C306" s="1"/>
      <c r="D306" s="1"/>
      <c r="E306" s="1"/>
      <c r="F306" s="1"/>
      <c r="G306" s="1"/>
      <c r="H306" s="1"/>
      <c r="I306" s="1"/>
      <c r="J306" s="1"/>
      <c r="K306" s="1"/>
      <c r="L306" s="1"/>
      <c r="M306" s="1"/>
    </row>
    <row r="307" ht="15.75" customHeight="1" spans="1:13" x14ac:dyDescent="0.25">
      <c r="A307" s="1"/>
      <c r="B307" s="1"/>
      <c r="C307" s="1"/>
      <c r="D307" s="1"/>
      <c r="E307" s="1"/>
      <c r="F307" s="1"/>
      <c r="G307" s="1"/>
      <c r="H307" s="1"/>
      <c r="I307" s="1"/>
      <c r="J307" s="1"/>
      <c r="K307" s="1"/>
      <c r="L307" s="1"/>
      <c r="M307" s="1"/>
    </row>
    <row r="308" ht="15.75" customHeight="1" spans="1:13" x14ac:dyDescent="0.25">
      <c r="A308" s="1"/>
      <c r="B308" s="1"/>
      <c r="C308" s="1"/>
      <c r="D308" s="1"/>
      <c r="E308" s="1"/>
      <c r="F308" s="1"/>
      <c r="G308" s="1"/>
      <c r="H308" s="1"/>
      <c r="I308" s="1"/>
      <c r="J308" s="1"/>
      <c r="K308" s="1"/>
      <c r="L308" s="1"/>
      <c r="M308" s="1"/>
    </row>
    <row r="309" ht="15.75" customHeight="1" spans="1:13" x14ac:dyDescent="0.25">
      <c r="A309" s="1"/>
      <c r="B309" s="1"/>
      <c r="C309" s="1"/>
      <c r="D309" s="1"/>
      <c r="E309" s="1"/>
      <c r="F309" s="1"/>
      <c r="G309" s="1"/>
      <c r="H309" s="1"/>
      <c r="I309" s="1"/>
      <c r="J309" s="1"/>
      <c r="K309" s="1"/>
      <c r="L309" s="1"/>
      <c r="M309" s="1"/>
    </row>
    <row r="310" ht="15.75" customHeight="1" spans="1:13" x14ac:dyDescent="0.25">
      <c r="A310" s="1"/>
      <c r="B310" s="1"/>
      <c r="C310" s="1"/>
      <c r="D310" s="1"/>
      <c r="E310" s="1"/>
      <c r="F310" s="1"/>
      <c r="G310" s="1"/>
      <c r="H310" s="1"/>
      <c r="I310" s="1"/>
      <c r="J310" s="1"/>
      <c r="K310" s="1"/>
      <c r="L310" s="1"/>
      <c r="M310" s="1"/>
    </row>
    <row r="311" ht="15.75" customHeight="1" spans="1:13" x14ac:dyDescent="0.25">
      <c r="A311" s="1"/>
      <c r="B311" s="1"/>
      <c r="C311" s="1"/>
      <c r="D311" s="1"/>
      <c r="E311" s="1"/>
      <c r="F311" s="1"/>
      <c r="G311" s="1"/>
      <c r="H311" s="1"/>
      <c r="I311" s="1"/>
      <c r="J311" s="1"/>
      <c r="K311" s="1"/>
      <c r="L311" s="1"/>
      <c r="M311" s="1"/>
    </row>
    <row r="312" ht="15.75" customHeight="1" spans="1:13" x14ac:dyDescent="0.25">
      <c r="A312" s="1"/>
      <c r="B312" s="1"/>
      <c r="C312" s="1"/>
      <c r="D312" s="1"/>
      <c r="E312" s="1"/>
      <c r="F312" s="1"/>
      <c r="G312" s="1"/>
      <c r="H312" s="1"/>
      <c r="I312" s="1"/>
      <c r="J312" s="1"/>
      <c r="K312" s="1"/>
      <c r="L312" s="1"/>
      <c r="M312" s="1"/>
    </row>
    <row r="313" ht="15.75" customHeight="1" spans="1:13" x14ac:dyDescent="0.25">
      <c r="A313" s="1"/>
      <c r="B313" s="1"/>
      <c r="C313" s="1"/>
      <c r="D313" s="1"/>
      <c r="E313" s="1"/>
      <c r="F313" s="1"/>
      <c r="G313" s="1"/>
      <c r="H313" s="1"/>
      <c r="I313" s="1"/>
      <c r="J313" s="1"/>
      <c r="K313" s="1"/>
      <c r="L313" s="1"/>
      <c r="M313" s="1"/>
    </row>
    <row r="314" ht="15.75" customHeight="1" spans="1:13" x14ac:dyDescent="0.25">
      <c r="A314" s="1"/>
      <c r="B314" s="1"/>
      <c r="C314" s="1"/>
      <c r="D314" s="1"/>
      <c r="E314" s="1"/>
      <c r="F314" s="1"/>
      <c r="G314" s="1"/>
      <c r="H314" s="1"/>
      <c r="I314" s="1"/>
      <c r="J314" s="1"/>
      <c r="K314" s="1"/>
      <c r="L314" s="1"/>
      <c r="M314" s="1"/>
    </row>
    <row r="315" ht="15.75" customHeight="1" spans="1:13" x14ac:dyDescent="0.25">
      <c r="A315" s="1"/>
      <c r="B315" s="1"/>
      <c r="C315" s="1"/>
      <c r="D315" s="1"/>
      <c r="E315" s="1"/>
      <c r="F315" s="1"/>
      <c r="G315" s="1"/>
      <c r="H315" s="1"/>
      <c r="I315" s="1"/>
      <c r="J315" s="1"/>
      <c r="K315" s="1"/>
      <c r="L315" s="1"/>
      <c r="M315" s="1"/>
    </row>
    <row r="316" ht="15.75" customHeight="1" spans="1:13" x14ac:dyDescent="0.25">
      <c r="A316" s="1"/>
      <c r="B316" s="1"/>
      <c r="C316" s="1"/>
      <c r="D316" s="1"/>
      <c r="E316" s="1"/>
      <c r="F316" s="1"/>
      <c r="G316" s="1"/>
      <c r="H316" s="1"/>
      <c r="I316" s="1"/>
      <c r="J316" s="1"/>
      <c r="K316" s="1"/>
      <c r="L316" s="1"/>
      <c r="M316" s="1"/>
    </row>
    <row r="317" ht="15.75" customHeight="1" spans="1:13" x14ac:dyDescent="0.25">
      <c r="A317" s="1"/>
      <c r="B317" s="1"/>
      <c r="C317" s="1"/>
      <c r="D317" s="1"/>
      <c r="E317" s="1"/>
      <c r="F317" s="1"/>
      <c r="G317" s="1"/>
      <c r="H317" s="1"/>
      <c r="I317" s="1"/>
      <c r="J317" s="1"/>
      <c r="K317" s="1"/>
      <c r="L317" s="1"/>
      <c r="M317" s="1"/>
    </row>
    <row r="318" ht="15.75" customHeight="1" spans="1:13" x14ac:dyDescent="0.25">
      <c r="A318" s="1"/>
      <c r="B318" s="1"/>
      <c r="C318" s="1"/>
      <c r="D318" s="1"/>
      <c r="E318" s="1"/>
      <c r="F318" s="1"/>
      <c r="G318" s="1"/>
      <c r="H318" s="1"/>
      <c r="I318" s="1"/>
      <c r="J318" s="1"/>
      <c r="K318" s="1"/>
      <c r="L318" s="1"/>
      <c r="M318" s="1"/>
    </row>
    <row r="319" ht="15.75" customHeight="1" spans="1:13" x14ac:dyDescent="0.25">
      <c r="A319" s="1"/>
      <c r="B319" s="1"/>
      <c r="C319" s="1"/>
      <c r="D319" s="1"/>
      <c r="E319" s="1"/>
      <c r="F319" s="1"/>
      <c r="G319" s="1"/>
      <c r="H319" s="1"/>
      <c r="I319" s="1"/>
      <c r="J319" s="1"/>
      <c r="K319" s="1"/>
      <c r="L319" s="1"/>
      <c r="M319" s="1"/>
    </row>
    <row r="320" ht="15.75" customHeight="1" spans="1:13" x14ac:dyDescent="0.25">
      <c r="A320" s="1"/>
      <c r="B320" s="1"/>
      <c r="C320" s="1"/>
      <c r="D320" s="1"/>
      <c r="E320" s="1"/>
      <c r="F320" s="1"/>
      <c r="G320" s="1"/>
      <c r="H320" s="1"/>
      <c r="I320" s="1"/>
      <c r="J320" s="1"/>
      <c r="K320" s="1"/>
      <c r="L320" s="1"/>
      <c r="M320" s="1"/>
    </row>
    <row r="321" ht="15.75" customHeight="1" spans="1:13" x14ac:dyDescent="0.25">
      <c r="A321" s="1"/>
      <c r="B321" s="1"/>
      <c r="C321" s="1"/>
      <c r="D321" s="1"/>
      <c r="E321" s="1"/>
      <c r="F321" s="1"/>
      <c r="G321" s="1"/>
      <c r="H321" s="1"/>
      <c r="I321" s="1"/>
      <c r="J321" s="1"/>
      <c r="K321" s="1"/>
      <c r="L321" s="1"/>
      <c r="M321" s="1"/>
    </row>
    <row r="322" ht="15.75" customHeight="1" spans="1:13" x14ac:dyDescent="0.25">
      <c r="A322" s="1"/>
      <c r="B322" s="1"/>
      <c r="C322" s="1"/>
      <c r="D322" s="1"/>
      <c r="E322" s="1"/>
      <c r="F322" s="1"/>
      <c r="G322" s="1"/>
      <c r="H322" s="1"/>
      <c r="I322" s="1"/>
      <c r="J322" s="1"/>
      <c r="K322" s="1"/>
      <c r="L322" s="1"/>
      <c r="M322" s="1"/>
    </row>
    <row r="323" ht="15.75" customHeight="1" spans="1:13" x14ac:dyDescent="0.25">
      <c r="A323" s="1"/>
      <c r="B323" s="1"/>
      <c r="C323" s="1"/>
      <c r="D323" s="1"/>
      <c r="E323" s="1"/>
      <c r="F323" s="1"/>
      <c r="G323" s="1"/>
      <c r="H323" s="1"/>
      <c r="I323" s="1"/>
      <c r="J323" s="1"/>
      <c r="K323" s="1"/>
      <c r="L323" s="1"/>
      <c r="M323" s="1"/>
    </row>
    <row r="324" ht="15.75" customHeight="1" spans="1:13" x14ac:dyDescent="0.25">
      <c r="A324" s="1"/>
      <c r="B324" s="1"/>
      <c r="C324" s="1"/>
      <c r="D324" s="1"/>
      <c r="E324" s="1"/>
      <c r="F324" s="1"/>
      <c r="G324" s="1"/>
      <c r="H324" s="1"/>
      <c r="I324" s="1"/>
      <c r="J324" s="1"/>
      <c r="K324" s="1"/>
      <c r="L324" s="1"/>
      <c r="M324" s="1"/>
    </row>
    <row r="325" ht="15.75" customHeight="1" spans="1:13" x14ac:dyDescent="0.25">
      <c r="A325" s="1"/>
      <c r="B325" s="1"/>
      <c r="C325" s="1"/>
      <c r="D325" s="1"/>
      <c r="E325" s="1"/>
      <c r="F325" s="1"/>
      <c r="G325" s="1"/>
      <c r="H325" s="1"/>
      <c r="I325" s="1"/>
      <c r="J325" s="1"/>
      <c r="K325" s="1"/>
      <c r="L325" s="1"/>
      <c r="M325" s="1"/>
    </row>
    <row r="326" ht="15.75" customHeight="1" spans="1:13" x14ac:dyDescent="0.25">
      <c r="A326" s="1"/>
      <c r="B326" s="1"/>
      <c r="C326" s="1"/>
      <c r="D326" s="1"/>
      <c r="E326" s="1"/>
      <c r="F326" s="1"/>
      <c r="G326" s="1"/>
      <c r="H326" s="1"/>
      <c r="I326" s="1"/>
      <c r="J326" s="1"/>
      <c r="K326" s="1"/>
      <c r="L326" s="1"/>
      <c r="M326" s="1"/>
    </row>
    <row r="327" ht="15.75" customHeight="1" spans="1:13" x14ac:dyDescent="0.25">
      <c r="A327" s="1"/>
      <c r="B327" s="1"/>
      <c r="C327" s="1"/>
      <c r="D327" s="1"/>
      <c r="E327" s="1"/>
      <c r="F327" s="1"/>
      <c r="G327" s="1"/>
      <c r="H327" s="1"/>
      <c r="I327" s="1"/>
      <c r="J327" s="1"/>
      <c r="K327" s="1"/>
      <c r="L327" s="1"/>
      <c r="M327" s="1"/>
    </row>
    <row r="328" ht="15.75" customHeight="1" spans="1:13" x14ac:dyDescent="0.25">
      <c r="A328" s="1"/>
      <c r="B328" s="1"/>
      <c r="C328" s="1"/>
      <c r="D328" s="1"/>
      <c r="E328" s="1"/>
      <c r="F328" s="1"/>
      <c r="G328" s="1"/>
      <c r="H328" s="1"/>
      <c r="I328" s="1"/>
      <c r="J328" s="1"/>
      <c r="K328" s="1"/>
      <c r="L328" s="1"/>
      <c r="M328" s="1"/>
    </row>
    <row r="329" ht="15.75" customHeight="1" spans="1:13" x14ac:dyDescent="0.25">
      <c r="A329" s="1"/>
      <c r="B329" s="1"/>
      <c r="C329" s="1"/>
      <c r="D329" s="1"/>
      <c r="E329" s="1"/>
      <c r="F329" s="1"/>
      <c r="G329" s="1"/>
      <c r="H329" s="1"/>
      <c r="I329" s="1"/>
      <c r="J329" s="1"/>
      <c r="K329" s="1"/>
      <c r="L329" s="1"/>
      <c r="M329" s="1"/>
    </row>
    <row r="330" ht="15.75" customHeight="1" spans="1:13" x14ac:dyDescent="0.25">
      <c r="A330" s="1"/>
      <c r="B330" s="1"/>
      <c r="C330" s="1"/>
      <c r="D330" s="1"/>
      <c r="E330" s="1"/>
      <c r="F330" s="1"/>
      <c r="G330" s="1"/>
      <c r="H330" s="1"/>
      <c r="I330" s="1"/>
      <c r="J330" s="1"/>
      <c r="K330" s="1"/>
      <c r="L330" s="1"/>
      <c r="M330" s="1"/>
    </row>
    <row r="331" ht="15.75" customHeight="1" spans="1:13" x14ac:dyDescent="0.25">
      <c r="A331" s="1"/>
      <c r="B331" s="1"/>
      <c r="C331" s="1"/>
      <c r="D331" s="1"/>
      <c r="E331" s="1"/>
      <c r="F331" s="1"/>
      <c r="G331" s="1"/>
      <c r="H331" s="1"/>
      <c r="I331" s="1"/>
      <c r="J331" s="1"/>
      <c r="K331" s="1"/>
      <c r="L331" s="1"/>
      <c r="M331" s="1"/>
    </row>
    <row r="332" ht="15.75" customHeight="1" spans="1:13" x14ac:dyDescent="0.25">
      <c r="A332" s="1"/>
      <c r="B332" s="1"/>
      <c r="C332" s="1"/>
      <c r="D332" s="1"/>
      <c r="E332" s="1"/>
      <c r="F332" s="1"/>
      <c r="G332" s="1"/>
      <c r="H332" s="1"/>
      <c r="I332" s="1"/>
      <c r="J332" s="1"/>
      <c r="K332" s="1"/>
      <c r="L332" s="1"/>
      <c r="M332" s="1"/>
    </row>
    <row r="333" ht="15.75" customHeight="1" spans="1:13" x14ac:dyDescent="0.25">
      <c r="A333" s="1"/>
      <c r="B333" s="1"/>
      <c r="C333" s="1"/>
      <c r="D333" s="1"/>
      <c r="E333" s="1"/>
      <c r="F333" s="1"/>
      <c r="G333" s="1"/>
      <c r="H333" s="1"/>
      <c r="I333" s="1"/>
      <c r="J333" s="1"/>
      <c r="K333" s="1"/>
      <c r="L333" s="1"/>
      <c r="M333" s="1"/>
    </row>
    <row r="334" ht="15.75" customHeight="1" spans="1:13" x14ac:dyDescent="0.25">
      <c r="A334" s="1"/>
      <c r="B334" s="1"/>
      <c r="C334" s="1"/>
      <c r="D334" s="1"/>
      <c r="E334" s="1"/>
      <c r="F334" s="1"/>
      <c r="G334" s="1"/>
      <c r="H334" s="1"/>
      <c r="I334" s="1"/>
      <c r="J334" s="1"/>
      <c r="K334" s="1"/>
      <c r="L334" s="1"/>
      <c r="M334" s="1"/>
    </row>
    <row r="335" ht="15.75" customHeight="1" spans="1:13" x14ac:dyDescent="0.25">
      <c r="A335" s="1"/>
      <c r="B335" s="1"/>
      <c r="C335" s="1"/>
      <c r="D335" s="1"/>
      <c r="E335" s="1"/>
      <c r="F335" s="1"/>
      <c r="G335" s="1"/>
      <c r="H335" s="1"/>
      <c r="I335" s="1"/>
      <c r="J335" s="1"/>
      <c r="K335" s="1"/>
      <c r="L335" s="1"/>
      <c r="M335" s="1"/>
    </row>
    <row r="336" ht="15.75" customHeight="1" spans="1:13" x14ac:dyDescent="0.25">
      <c r="A336" s="1"/>
      <c r="B336" s="1"/>
      <c r="C336" s="1"/>
      <c r="D336" s="1"/>
      <c r="E336" s="1"/>
      <c r="F336" s="1"/>
      <c r="G336" s="1"/>
      <c r="H336" s="1"/>
      <c r="I336" s="1"/>
      <c r="J336" s="1"/>
      <c r="K336" s="1"/>
      <c r="L336" s="1"/>
      <c r="M336" s="1"/>
    </row>
    <row r="337" ht="15.75" customHeight="1" spans="1:13" x14ac:dyDescent="0.25">
      <c r="A337" s="1"/>
      <c r="B337" s="1"/>
      <c r="C337" s="1"/>
      <c r="D337" s="1"/>
      <c r="E337" s="1"/>
      <c r="F337" s="1"/>
      <c r="G337" s="1"/>
      <c r="H337" s="1"/>
      <c r="I337" s="1"/>
      <c r="J337" s="1"/>
      <c r="K337" s="1"/>
      <c r="L337" s="1"/>
      <c r="M337" s="1"/>
    </row>
    <row r="338" ht="15.75" customHeight="1" spans="1:13" x14ac:dyDescent="0.25">
      <c r="A338" s="1"/>
      <c r="B338" s="1"/>
      <c r="C338" s="1"/>
      <c r="D338" s="1"/>
      <c r="E338" s="1"/>
      <c r="F338" s="1"/>
      <c r="G338" s="1"/>
      <c r="H338" s="1"/>
      <c r="I338" s="1"/>
      <c r="J338" s="1"/>
      <c r="K338" s="1"/>
      <c r="L338" s="1"/>
      <c r="M338" s="1"/>
    </row>
    <row r="339" ht="15.75" customHeight="1" spans="1:13" x14ac:dyDescent="0.25">
      <c r="A339" s="1"/>
      <c r="B339" s="1"/>
      <c r="C339" s="1"/>
      <c r="D339" s="1"/>
      <c r="E339" s="1"/>
      <c r="F339" s="1"/>
      <c r="G339" s="1"/>
      <c r="H339" s="1"/>
      <c r="I339" s="1"/>
      <c r="J339" s="1"/>
      <c r="K339" s="1"/>
      <c r="L339" s="1"/>
      <c r="M339" s="1"/>
    </row>
    <row r="340" ht="15.75" customHeight="1" spans="1:13" x14ac:dyDescent="0.25">
      <c r="A340" s="1"/>
      <c r="B340" s="1"/>
      <c r="C340" s="1"/>
      <c r="D340" s="1"/>
      <c r="E340" s="1"/>
      <c r="F340" s="1"/>
      <c r="G340" s="1"/>
      <c r="H340" s="1"/>
      <c r="I340" s="1"/>
      <c r="J340" s="1"/>
      <c r="K340" s="1"/>
      <c r="L340" s="1"/>
      <c r="M340" s="1"/>
    </row>
    <row r="341" ht="15.75" customHeight="1" spans="1:13" x14ac:dyDescent="0.25">
      <c r="A341" s="1"/>
      <c r="B341" s="1"/>
      <c r="C341" s="1"/>
      <c r="D341" s="1"/>
      <c r="E341" s="1"/>
      <c r="F341" s="1"/>
      <c r="G341" s="1"/>
      <c r="H341" s="1"/>
      <c r="I341" s="1"/>
      <c r="J341" s="1"/>
      <c r="K341" s="1"/>
      <c r="L341" s="1"/>
      <c r="M341" s="1"/>
    </row>
    <row r="342" ht="15.75" customHeight="1" spans="1:13" x14ac:dyDescent="0.25">
      <c r="A342" s="1"/>
      <c r="B342" s="1"/>
      <c r="C342" s="1"/>
      <c r="D342" s="1"/>
      <c r="E342" s="1"/>
      <c r="F342" s="1"/>
      <c r="G342" s="1"/>
      <c r="H342" s="1"/>
      <c r="I342" s="1"/>
      <c r="J342" s="1"/>
      <c r="K342" s="1"/>
      <c r="L342" s="1"/>
      <c r="M342" s="1"/>
    </row>
    <row r="343" ht="15.75" customHeight="1" spans="1:13" x14ac:dyDescent="0.25">
      <c r="A343" s="1"/>
      <c r="B343" s="1"/>
      <c r="C343" s="1"/>
      <c r="D343" s="1"/>
      <c r="E343" s="1"/>
      <c r="F343" s="1"/>
      <c r="G343" s="1"/>
      <c r="H343" s="1"/>
      <c r="I343" s="1"/>
      <c r="J343" s="1"/>
      <c r="K343" s="1"/>
      <c r="L343" s="1"/>
      <c r="M343" s="1"/>
    </row>
    <row r="344" ht="15.75" customHeight="1" spans="1:13" x14ac:dyDescent="0.25">
      <c r="A344" s="1"/>
      <c r="B344" s="1"/>
      <c r="C344" s="1"/>
      <c r="D344" s="1"/>
      <c r="E344" s="1"/>
      <c r="F344" s="1"/>
      <c r="G344" s="1"/>
      <c r="H344" s="1"/>
      <c r="I344" s="1"/>
      <c r="J344" s="1"/>
      <c r="K344" s="1"/>
      <c r="L344" s="1"/>
      <c r="M344" s="1"/>
    </row>
    <row r="345" ht="15.75" customHeight="1" spans="1:13" x14ac:dyDescent="0.25">
      <c r="A345" s="1"/>
      <c r="B345" s="1"/>
      <c r="C345" s="1"/>
      <c r="D345" s="1"/>
      <c r="E345" s="1"/>
      <c r="F345" s="1"/>
      <c r="G345" s="1"/>
      <c r="H345" s="1"/>
      <c r="I345" s="1"/>
      <c r="J345" s="1"/>
      <c r="K345" s="1"/>
      <c r="L345" s="1"/>
      <c r="M345" s="1"/>
    </row>
    <row r="346" ht="15.75" customHeight="1" spans="1:13" x14ac:dyDescent="0.25">
      <c r="A346" s="1"/>
      <c r="B346" s="1"/>
      <c r="C346" s="1"/>
      <c r="D346" s="1"/>
      <c r="E346" s="1"/>
      <c r="F346" s="1"/>
      <c r="G346" s="1"/>
      <c r="H346" s="1"/>
      <c r="I346" s="1"/>
      <c r="J346" s="1"/>
      <c r="K346" s="1"/>
      <c r="L346" s="1"/>
      <c r="M346" s="1"/>
    </row>
    <row r="347" ht="15.75" customHeight="1" spans="1:13" x14ac:dyDescent="0.25">
      <c r="A347" s="1"/>
      <c r="B347" s="1"/>
      <c r="C347" s="1"/>
      <c r="D347" s="1"/>
      <c r="E347" s="1"/>
      <c r="F347" s="1"/>
      <c r="G347" s="1"/>
      <c r="H347" s="1"/>
      <c r="I347" s="1"/>
      <c r="J347" s="1"/>
      <c r="K347" s="1"/>
      <c r="L347" s="1"/>
      <c r="M347" s="1"/>
    </row>
    <row r="348" ht="15.75" customHeight="1" spans="1:13" x14ac:dyDescent="0.25">
      <c r="A348" s="1"/>
      <c r="B348" s="1"/>
      <c r="C348" s="1"/>
      <c r="D348" s="1"/>
      <c r="E348" s="1"/>
      <c r="F348" s="1"/>
      <c r="G348" s="1"/>
      <c r="H348" s="1"/>
      <c r="I348" s="1"/>
      <c r="J348" s="1"/>
      <c r="K348" s="1"/>
      <c r="L348" s="1"/>
      <c r="M348" s="1"/>
    </row>
    <row r="349" ht="15.75" customHeight="1" spans="1:13" x14ac:dyDescent="0.25">
      <c r="A349" s="1"/>
      <c r="B349" s="1"/>
      <c r="C349" s="1"/>
      <c r="D349" s="1"/>
      <c r="E349" s="1"/>
      <c r="F349" s="1"/>
      <c r="G349" s="1"/>
      <c r="H349" s="1"/>
      <c r="I349" s="1"/>
      <c r="J349" s="1"/>
      <c r="K349" s="1"/>
      <c r="L349" s="1"/>
      <c r="M349" s="1"/>
    </row>
    <row r="350" ht="15.75" customHeight="1" spans="1:13" x14ac:dyDescent="0.25">
      <c r="A350" s="1"/>
      <c r="B350" s="1"/>
      <c r="C350" s="1"/>
      <c r="D350" s="1"/>
      <c r="E350" s="1"/>
      <c r="F350" s="1"/>
      <c r="G350" s="1"/>
      <c r="H350" s="1"/>
      <c r="I350" s="1"/>
      <c r="J350" s="1"/>
      <c r="K350" s="1"/>
      <c r="L350" s="1"/>
      <c r="M350" s="1"/>
    </row>
    <row r="351" ht="15.75" customHeight="1" spans="1:13" x14ac:dyDescent="0.25">
      <c r="A351" s="1"/>
      <c r="B351" s="1"/>
      <c r="C351" s="1"/>
      <c r="D351" s="1"/>
      <c r="E351" s="1"/>
      <c r="F351" s="1"/>
      <c r="G351" s="1"/>
      <c r="H351" s="1"/>
      <c r="I351" s="1"/>
      <c r="J351" s="1"/>
      <c r="K351" s="1"/>
      <c r="L351" s="1"/>
      <c r="M351" s="1"/>
    </row>
    <row r="352" ht="15.75" customHeight="1" spans="1:13" x14ac:dyDescent="0.25">
      <c r="A352" s="1"/>
      <c r="B352" s="1"/>
      <c r="C352" s="1"/>
      <c r="D352" s="1"/>
      <c r="E352" s="1"/>
      <c r="F352" s="1"/>
      <c r="G352" s="1"/>
      <c r="H352" s="1"/>
      <c r="I352" s="1"/>
      <c r="J352" s="1"/>
      <c r="K352" s="1"/>
      <c r="L352" s="1"/>
      <c r="M352" s="1"/>
    </row>
    <row r="353" ht="15.75" customHeight="1" spans="1:13" x14ac:dyDescent="0.25">
      <c r="A353" s="1"/>
      <c r="B353" s="1"/>
      <c r="C353" s="1"/>
      <c r="D353" s="1"/>
      <c r="E353" s="1"/>
      <c r="F353" s="1"/>
      <c r="G353" s="1"/>
      <c r="H353" s="1"/>
      <c r="I353" s="1"/>
      <c r="J353" s="1"/>
      <c r="K353" s="1"/>
      <c r="L353" s="1"/>
      <c r="M353" s="1"/>
    </row>
    <row r="354" ht="15.75" customHeight="1" spans="1:13" x14ac:dyDescent="0.25">
      <c r="A354" s="1"/>
      <c r="B354" s="1"/>
      <c r="C354" s="1"/>
      <c r="D354" s="1"/>
      <c r="E354" s="1"/>
      <c r="F354" s="1"/>
      <c r="G354" s="1"/>
      <c r="H354" s="1"/>
      <c r="I354" s="1"/>
      <c r="J354" s="1"/>
      <c r="K354" s="1"/>
      <c r="L354" s="1"/>
      <c r="M354" s="1"/>
    </row>
    <row r="355" ht="15.75" customHeight="1" spans="1:13" x14ac:dyDescent="0.25">
      <c r="A355" s="1"/>
      <c r="B355" s="1"/>
      <c r="C355" s="1"/>
      <c r="D355" s="1"/>
      <c r="E355" s="1"/>
      <c r="F355" s="1"/>
      <c r="G355" s="1"/>
      <c r="H355" s="1"/>
      <c r="I355" s="1"/>
      <c r="J355" s="1"/>
      <c r="K355" s="1"/>
      <c r="L355" s="1"/>
      <c r="M355" s="1"/>
    </row>
    <row r="356" ht="15.75" customHeight="1" spans="1:13" x14ac:dyDescent="0.25">
      <c r="A356" s="1"/>
      <c r="B356" s="1"/>
      <c r="C356" s="1"/>
      <c r="D356" s="1"/>
      <c r="E356" s="1"/>
      <c r="F356" s="1"/>
      <c r="G356" s="1"/>
      <c r="H356" s="1"/>
      <c r="I356" s="1"/>
      <c r="J356" s="1"/>
      <c r="K356" s="1"/>
      <c r="L356" s="1"/>
      <c r="M356" s="1"/>
    </row>
    <row r="357" ht="15.75" customHeight="1" spans="1:13" x14ac:dyDescent="0.25">
      <c r="A357" s="1"/>
      <c r="B357" s="1"/>
      <c r="C357" s="1"/>
      <c r="D357" s="1"/>
      <c r="E357" s="1"/>
      <c r="F357" s="1"/>
      <c r="G357" s="1"/>
      <c r="H357" s="1"/>
      <c r="I357" s="1"/>
      <c r="J357" s="1"/>
      <c r="K357" s="1"/>
      <c r="L357" s="1"/>
      <c r="M357" s="1"/>
    </row>
    <row r="358" ht="15.75" customHeight="1" spans="1:13" x14ac:dyDescent="0.25">
      <c r="A358" s="1"/>
      <c r="B358" s="1"/>
      <c r="C358" s="1"/>
      <c r="D358" s="1"/>
      <c r="E358" s="1"/>
      <c r="F358" s="1"/>
      <c r="G358" s="1"/>
      <c r="H358" s="1"/>
      <c r="I358" s="1"/>
      <c r="J358" s="1"/>
      <c r="K358" s="1"/>
      <c r="L358" s="1"/>
      <c r="M358" s="1"/>
    </row>
    <row r="359" ht="15.75" customHeight="1" spans="1:13" x14ac:dyDescent="0.25">
      <c r="A359" s="1"/>
      <c r="B359" s="1"/>
      <c r="C359" s="1"/>
      <c r="D359" s="1"/>
      <c r="E359" s="1"/>
      <c r="F359" s="1"/>
      <c r="G359" s="1"/>
      <c r="H359" s="1"/>
      <c r="I359" s="1"/>
      <c r="J359" s="1"/>
      <c r="K359" s="1"/>
      <c r="L359" s="1"/>
      <c r="M359" s="1"/>
    </row>
    <row r="360" ht="15.75" customHeight="1" spans="1:13" x14ac:dyDescent="0.25">
      <c r="A360" s="1"/>
      <c r="B360" s="1"/>
      <c r="C360" s="1"/>
      <c r="D360" s="1"/>
      <c r="E360" s="1"/>
      <c r="F360" s="1"/>
      <c r="G360" s="1"/>
      <c r="H360" s="1"/>
      <c r="I360" s="1"/>
      <c r="J360" s="1"/>
      <c r="K360" s="1"/>
      <c r="L360" s="1"/>
      <c r="M360" s="1"/>
    </row>
    <row r="361" ht="15.75" customHeight="1" spans="1:13" x14ac:dyDescent="0.25">
      <c r="A361" s="1"/>
      <c r="B361" s="1"/>
      <c r="C361" s="1"/>
      <c r="D361" s="1"/>
      <c r="E361" s="1"/>
      <c r="F361" s="1"/>
      <c r="G361" s="1"/>
      <c r="H361" s="1"/>
      <c r="I361" s="1"/>
      <c r="J361" s="1"/>
      <c r="K361" s="1"/>
      <c r="L361" s="1"/>
      <c r="M361" s="1"/>
    </row>
    <row r="362" ht="15.75" customHeight="1" spans="1:13" x14ac:dyDescent="0.25">
      <c r="A362" s="1"/>
      <c r="B362" s="1"/>
      <c r="C362" s="1"/>
      <c r="D362" s="1"/>
      <c r="E362" s="1"/>
      <c r="F362" s="1"/>
      <c r="G362" s="1"/>
      <c r="H362" s="1"/>
      <c r="I362" s="1"/>
      <c r="J362" s="1"/>
      <c r="K362" s="1"/>
      <c r="L362" s="1"/>
      <c r="M362" s="1"/>
    </row>
    <row r="363" ht="15.75" customHeight="1" spans="1:13" x14ac:dyDescent="0.25">
      <c r="A363" s="1"/>
      <c r="B363" s="1"/>
      <c r="C363" s="1"/>
      <c r="D363" s="1"/>
      <c r="E363" s="1"/>
      <c r="F363" s="1"/>
      <c r="G363" s="1"/>
      <c r="H363" s="1"/>
      <c r="I363" s="1"/>
      <c r="J363" s="1"/>
      <c r="K363" s="1"/>
      <c r="L363" s="1"/>
      <c r="M363" s="1"/>
    </row>
    <row r="364" ht="15.75" customHeight="1" spans="1:13" x14ac:dyDescent="0.25">
      <c r="A364" s="1"/>
      <c r="B364" s="1"/>
      <c r="C364" s="1"/>
      <c r="D364" s="1"/>
      <c r="E364" s="1"/>
      <c r="F364" s="1"/>
      <c r="G364" s="1"/>
      <c r="H364" s="1"/>
      <c r="I364" s="1"/>
      <c r="J364" s="1"/>
      <c r="K364" s="1"/>
      <c r="L364" s="1"/>
      <c r="M364" s="1"/>
    </row>
    <row r="365" ht="15.75" customHeight="1" spans="1:13" x14ac:dyDescent="0.25">
      <c r="A365" s="1"/>
      <c r="B365" s="1"/>
      <c r="C365" s="1"/>
      <c r="D365" s="1"/>
      <c r="E365" s="1"/>
      <c r="F365" s="1"/>
      <c r="G365" s="1"/>
      <c r="H365" s="1"/>
      <c r="I365" s="1"/>
      <c r="J365" s="1"/>
      <c r="K365" s="1"/>
      <c r="L365" s="1"/>
      <c r="M365" s="1"/>
    </row>
    <row r="366" ht="15.75" customHeight="1" spans="1:13" x14ac:dyDescent="0.25">
      <c r="A366" s="1"/>
      <c r="B366" s="1"/>
      <c r="C366" s="1"/>
      <c r="D366" s="1"/>
      <c r="E366" s="1"/>
      <c r="F366" s="1"/>
      <c r="G366" s="1"/>
      <c r="H366" s="1"/>
      <c r="I366" s="1"/>
      <c r="J366" s="1"/>
      <c r="K366" s="1"/>
      <c r="L366" s="1"/>
      <c r="M366" s="1"/>
    </row>
    <row r="367" ht="15.75" customHeight="1" spans="1:13" x14ac:dyDescent="0.25">
      <c r="A367" s="1"/>
      <c r="B367" s="1"/>
      <c r="C367" s="1"/>
      <c r="D367" s="1"/>
      <c r="E367" s="1"/>
      <c r="F367" s="1"/>
      <c r="G367" s="1"/>
      <c r="H367" s="1"/>
      <c r="I367" s="1"/>
      <c r="J367" s="1"/>
      <c r="K367" s="1"/>
      <c r="L367" s="1"/>
      <c r="M367" s="1"/>
    </row>
    <row r="368" ht="15.75" customHeight="1" spans="1:13" x14ac:dyDescent="0.25">
      <c r="A368" s="1"/>
      <c r="B368" s="1"/>
      <c r="C368" s="1"/>
      <c r="D368" s="1"/>
      <c r="E368" s="1"/>
      <c r="F368" s="1"/>
      <c r="G368" s="1"/>
      <c r="H368" s="1"/>
      <c r="I368" s="1"/>
      <c r="J368" s="1"/>
      <c r="K368" s="1"/>
      <c r="L368" s="1"/>
      <c r="M368" s="1"/>
    </row>
    <row r="369" ht="15.75" customHeight="1" spans="1:13" x14ac:dyDescent="0.25">
      <c r="A369" s="1"/>
      <c r="B369" s="1"/>
      <c r="C369" s="1"/>
      <c r="D369" s="1"/>
      <c r="E369" s="1"/>
      <c r="F369" s="1"/>
      <c r="G369" s="1"/>
      <c r="H369" s="1"/>
      <c r="I369" s="1"/>
      <c r="J369" s="1"/>
      <c r="K369" s="1"/>
      <c r="L369" s="1"/>
      <c r="M369" s="1"/>
    </row>
    <row r="370" ht="15.75" customHeight="1" spans="1:13" x14ac:dyDescent="0.25">
      <c r="A370" s="1"/>
      <c r="B370" s="1"/>
      <c r="C370" s="1"/>
      <c r="D370" s="1"/>
      <c r="E370" s="1"/>
      <c r="F370" s="1"/>
      <c r="G370" s="1"/>
      <c r="H370" s="1"/>
      <c r="I370" s="1"/>
      <c r="J370" s="1"/>
      <c r="K370" s="1"/>
      <c r="L370" s="1"/>
      <c r="M370" s="1"/>
    </row>
    <row r="371" ht="15.75" customHeight="1" spans="1:13" x14ac:dyDescent="0.25">
      <c r="A371" s="1"/>
      <c r="B371" s="1"/>
      <c r="C371" s="1"/>
      <c r="D371" s="1"/>
      <c r="E371" s="1"/>
      <c r="F371" s="1"/>
      <c r="G371" s="1"/>
      <c r="H371" s="1"/>
      <c r="I371" s="1"/>
      <c r="J371" s="1"/>
      <c r="K371" s="1"/>
      <c r="L371" s="1"/>
      <c r="M371" s="1"/>
    </row>
    <row r="372" ht="15.75" customHeight="1" spans="1:13" x14ac:dyDescent="0.25">
      <c r="A372" s="1"/>
      <c r="B372" s="1"/>
      <c r="C372" s="1"/>
      <c r="D372" s="1"/>
      <c r="E372" s="1"/>
      <c r="F372" s="1"/>
      <c r="G372" s="1"/>
      <c r="H372" s="1"/>
      <c r="I372" s="1"/>
      <c r="J372" s="1"/>
      <c r="K372" s="1"/>
      <c r="L372" s="1"/>
      <c r="M372" s="1"/>
    </row>
    <row r="373" ht="15.75" customHeight="1" spans="1:13" x14ac:dyDescent="0.25">
      <c r="A373" s="1"/>
      <c r="B373" s="1"/>
      <c r="C373" s="1"/>
      <c r="D373" s="1"/>
      <c r="E373" s="1"/>
      <c r="F373" s="1"/>
      <c r="G373" s="1"/>
      <c r="H373" s="1"/>
      <c r="I373" s="1"/>
      <c r="J373" s="1"/>
      <c r="K373" s="1"/>
      <c r="L373" s="1"/>
      <c r="M373" s="1"/>
    </row>
    <row r="374" ht="15.75" customHeight="1" spans="1:13" x14ac:dyDescent="0.25">
      <c r="A374" s="1"/>
      <c r="B374" s="1"/>
      <c r="C374" s="1"/>
      <c r="D374" s="1"/>
      <c r="E374" s="1"/>
      <c r="F374" s="1"/>
      <c r="G374" s="1"/>
      <c r="H374" s="1"/>
      <c r="I374" s="1"/>
      <c r="J374" s="1"/>
      <c r="K374" s="1"/>
      <c r="L374" s="1"/>
      <c r="M374" s="1"/>
    </row>
    <row r="375" ht="15.75" customHeight="1" spans="1:13" x14ac:dyDescent="0.25">
      <c r="A375" s="1"/>
      <c r="B375" s="1"/>
      <c r="C375" s="1"/>
      <c r="D375" s="1"/>
      <c r="E375" s="1"/>
      <c r="F375" s="1"/>
      <c r="G375" s="1"/>
      <c r="H375" s="1"/>
      <c r="I375" s="1"/>
      <c r="J375" s="1"/>
      <c r="K375" s="1"/>
      <c r="L375" s="1"/>
      <c r="M375" s="1"/>
    </row>
    <row r="376" ht="15.75" customHeight="1" spans="1:13" x14ac:dyDescent="0.25">
      <c r="A376" s="1"/>
      <c r="B376" s="1"/>
      <c r="C376" s="1"/>
      <c r="D376" s="1"/>
      <c r="E376" s="1"/>
      <c r="F376" s="1"/>
      <c r="G376" s="1"/>
      <c r="H376" s="1"/>
      <c r="I376" s="1"/>
      <c r="J376" s="1"/>
      <c r="K376" s="1"/>
      <c r="L376" s="1"/>
      <c r="M376" s="1"/>
    </row>
    <row r="377" ht="15.75" customHeight="1" spans="1:13" x14ac:dyDescent="0.25">
      <c r="A377" s="1"/>
      <c r="B377" s="1"/>
      <c r="C377" s="1"/>
      <c r="D377" s="1"/>
      <c r="E377" s="1"/>
      <c r="F377" s="1"/>
      <c r="G377" s="1"/>
      <c r="H377" s="1"/>
      <c r="I377" s="1"/>
      <c r="J377" s="1"/>
      <c r="K377" s="1"/>
      <c r="L377" s="1"/>
      <c r="M377" s="1"/>
    </row>
    <row r="378" ht="15.75" customHeight="1" spans="1:13" x14ac:dyDescent="0.25">
      <c r="A378" s="1"/>
      <c r="B378" s="1"/>
      <c r="C378" s="1"/>
      <c r="D378" s="1"/>
      <c r="E378" s="1"/>
      <c r="F378" s="1"/>
      <c r="G378" s="1"/>
      <c r="H378" s="1"/>
      <c r="I378" s="1"/>
      <c r="J378" s="1"/>
      <c r="K378" s="1"/>
      <c r="L378" s="1"/>
      <c r="M378" s="1"/>
    </row>
    <row r="379" ht="15.75" customHeight="1" spans="1:13" x14ac:dyDescent="0.25">
      <c r="A379" s="1"/>
      <c r="B379" s="1"/>
      <c r="C379" s="1"/>
      <c r="D379" s="1"/>
      <c r="E379" s="1"/>
      <c r="F379" s="1"/>
      <c r="G379" s="1"/>
      <c r="H379" s="1"/>
      <c r="I379" s="1"/>
      <c r="J379" s="1"/>
      <c r="K379" s="1"/>
      <c r="L379" s="1"/>
      <c r="M379" s="1"/>
    </row>
    <row r="380" ht="15.75" customHeight="1" spans="1:13" x14ac:dyDescent="0.25">
      <c r="A380" s="1"/>
      <c r="B380" s="1"/>
      <c r="C380" s="1"/>
      <c r="D380" s="1"/>
      <c r="E380" s="1"/>
      <c r="F380" s="1"/>
      <c r="G380" s="1"/>
      <c r="H380" s="1"/>
      <c r="I380" s="1"/>
      <c r="J380" s="1"/>
      <c r="K380" s="1"/>
      <c r="L380" s="1"/>
      <c r="M380" s="1"/>
    </row>
    <row r="381" ht="15.75" customHeight="1" spans="1:13" x14ac:dyDescent="0.25">
      <c r="A381" s="1"/>
      <c r="B381" s="1"/>
      <c r="C381" s="1"/>
      <c r="D381" s="1"/>
      <c r="E381" s="1"/>
      <c r="F381" s="1"/>
      <c r="G381" s="1"/>
      <c r="H381" s="1"/>
      <c r="I381" s="1"/>
      <c r="J381" s="1"/>
      <c r="K381" s="1"/>
      <c r="L381" s="1"/>
      <c r="M381" s="1"/>
    </row>
    <row r="382" ht="15.75" customHeight="1" spans="1:13" x14ac:dyDescent="0.25">
      <c r="A382" s="1"/>
      <c r="B382" s="1"/>
      <c r="C382" s="1"/>
      <c r="D382" s="1"/>
      <c r="E382" s="1"/>
      <c r="F382" s="1"/>
      <c r="G382" s="1"/>
      <c r="H382" s="1"/>
      <c r="I382" s="1"/>
      <c r="J382" s="1"/>
      <c r="K382" s="1"/>
      <c r="L382" s="1"/>
      <c r="M382" s="1"/>
    </row>
    <row r="383" ht="15.75" customHeight="1" spans="1:13" x14ac:dyDescent="0.25">
      <c r="A383" s="1"/>
      <c r="B383" s="1"/>
      <c r="C383" s="1"/>
      <c r="D383" s="1"/>
      <c r="E383" s="1"/>
      <c r="F383" s="1"/>
      <c r="G383" s="1"/>
      <c r="H383" s="1"/>
      <c r="I383" s="1"/>
      <c r="J383" s="1"/>
      <c r="K383" s="1"/>
      <c r="L383" s="1"/>
      <c r="M383" s="1"/>
    </row>
    <row r="384" ht="15.75" customHeight="1" spans="1:13" x14ac:dyDescent="0.25">
      <c r="A384" s="1"/>
      <c r="B384" s="1"/>
      <c r="C384" s="1"/>
      <c r="D384" s="1"/>
      <c r="E384" s="1"/>
      <c r="F384" s="1"/>
      <c r="G384" s="1"/>
      <c r="H384" s="1"/>
      <c r="I384" s="1"/>
      <c r="J384" s="1"/>
      <c r="K384" s="1"/>
      <c r="L384" s="1"/>
      <c r="M384" s="1"/>
    </row>
    <row r="385" ht="15.75" customHeight="1" spans="1:13" x14ac:dyDescent="0.25">
      <c r="A385" s="1"/>
      <c r="B385" s="1"/>
      <c r="C385" s="1"/>
      <c r="D385" s="1"/>
      <c r="E385" s="1"/>
      <c r="F385" s="1"/>
      <c r="G385" s="1"/>
      <c r="H385" s="1"/>
      <c r="I385" s="1"/>
      <c r="J385" s="1"/>
      <c r="K385" s="1"/>
      <c r="L385" s="1"/>
      <c r="M385" s="1"/>
    </row>
    <row r="386" ht="15.75" customHeight="1" spans="1:13" x14ac:dyDescent="0.25">
      <c r="A386" s="1"/>
      <c r="B386" s="1"/>
      <c r="C386" s="1"/>
      <c r="D386" s="1"/>
      <c r="E386" s="1"/>
      <c r="F386" s="1"/>
      <c r="G386" s="1"/>
      <c r="H386" s="1"/>
      <c r="I386" s="1"/>
      <c r="J386" s="1"/>
      <c r="K386" s="1"/>
      <c r="L386" s="1"/>
      <c r="M386" s="1"/>
    </row>
    <row r="387" ht="15.75" customHeight="1" spans="1:13" x14ac:dyDescent="0.25">
      <c r="A387" s="1"/>
      <c r="B387" s="1"/>
      <c r="C387" s="1"/>
      <c r="D387" s="1"/>
      <c r="E387" s="1"/>
      <c r="F387" s="1"/>
      <c r="G387" s="1"/>
      <c r="H387" s="1"/>
      <c r="I387" s="1"/>
      <c r="J387" s="1"/>
      <c r="K387" s="1"/>
      <c r="L387" s="1"/>
      <c r="M387" s="1"/>
    </row>
    <row r="388" ht="15.75" customHeight="1" spans="1:13" x14ac:dyDescent="0.25">
      <c r="A388" s="1"/>
      <c r="B388" s="1"/>
      <c r="C388" s="1"/>
      <c r="D388" s="1"/>
      <c r="E388" s="1"/>
      <c r="F388" s="1"/>
      <c r="G388" s="1"/>
      <c r="H388" s="1"/>
      <c r="I388" s="1"/>
      <c r="J388" s="1"/>
      <c r="K388" s="1"/>
      <c r="L388" s="1"/>
      <c r="M388" s="1"/>
    </row>
    <row r="389" ht="15.75" customHeight="1" spans="1:13" x14ac:dyDescent="0.25">
      <c r="A389" s="1"/>
      <c r="B389" s="1"/>
      <c r="C389" s="1"/>
      <c r="D389" s="1"/>
      <c r="E389" s="1"/>
      <c r="F389" s="1"/>
      <c r="G389" s="1"/>
      <c r="H389" s="1"/>
      <c r="I389" s="1"/>
      <c r="J389" s="1"/>
      <c r="K389" s="1"/>
      <c r="L389" s="1"/>
      <c r="M389" s="1"/>
    </row>
    <row r="390" ht="15.75" customHeight="1" spans="1:13" x14ac:dyDescent="0.25">
      <c r="A390" s="1"/>
      <c r="B390" s="1"/>
      <c r="C390" s="1"/>
      <c r="D390" s="1"/>
      <c r="E390" s="1"/>
      <c r="F390" s="1"/>
      <c r="G390" s="1"/>
      <c r="H390" s="1"/>
      <c r="I390" s="1"/>
      <c r="J390" s="1"/>
      <c r="K390" s="1"/>
      <c r="L390" s="1"/>
      <c r="M390" s="1"/>
    </row>
    <row r="391" ht="15.75" customHeight="1" spans="1:13" x14ac:dyDescent="0.25">
      <c r="A391" s="1"/>
      <c r="B391" s="1"/>
      <c r="C391" s="1"/>
      <c r="D391" s="1"/>
      <c r="E391" s="1"/>
      <c r="F391" s="1"/>
      <c r="G391" s="1"/>
      <c r="H391" s="1"/>
      <c r="I391" s="1"/>
      <c r="J391" s="1"/>
      <c r="K391" s="1"/>
      <c r="L391" s="1"/>
      <c r="M391" s="1"/>
    </row>
    <row r="392" ht="15.75" customHeight="1" spans="1:13" x14ac:dyDescent="0.25">
      <c r="A392" s="1"/>
      <c r="B392" s="1"/>
      <c r="C392" s="1"/>
      <c r="D392" s="1"/>
      <c r="E392" s="1"/>
      <c r="F392" s="1"/>
      <c r="G392" s="1"/>
      <c r="H392" s="1"/>
      <c r="I392" s="1"/>
      <c r="J392" s="1"/>
      <c r="K392" s="1"/>
      <c r="L392" s="1"/>
      <c r="M392" s="1"/>
    </row>
    <row r="393" ht="15.75" customHeight="1" spans="1:13" x14ac:dyDescent="0.25">
      <c r="A393" s="1"/>
      <c r="B393" s="1"/>
      <c r="C393" s="1"/>
      <c r="D393" s="1"/>
      <c r="E393" s="1"/>
      <c r="F393" s="1"/>
      <c r="G393" s="1"/>
      <c r="H393" s="1"/>
      <c r="I393" s="1"/>
      <c r="J393" s="1"/>
      <c r="K393" s="1"/>
      <c r="L393" s="1"/>
      <c r="M393" s="1"/>
    </row>
    <row r="394" ht="15.75" customHeight="1" spans="1:13" x14ac:dyDescent="0.25">
      <c r="A394" s="1"/>
      <c r="B394" s="1"/>
      <c r="C394" s="1"/>
      <c r="D394" s="1"/>
      <c r="E394" s="1"/>
      <c r="F394" s="1"/>
      <c r="G394" s="1"/>
      <c r="H394" s="1"/>
      <c r="I394" s="1"/>
      <c r="J394" s="1"/>
      <c r="K394" s="1"/>
      <c r="L394" s="1"/>
      <c r="M394" s="1"/>
    </row>
    <row r="395" ht="15.75" customHeight="1" spans="1:13" x14ac:dyDescent="0.25">
      <c r="A395" s="1"/>
      <c r="B395" s="1"/>
      <c r="C395" s="1"/>
      <c r="D395" s="1"/>
      <c r="E395" s="1"/>
      <c r="F395" s="1"/>
      <c r="G395" s="1"/>
      <c r="H395" s="1"/>
      <c r="I395" s="1"/>
      <c r="J395" s="1"/>
      <c r="K395" s="1"/>
      <c r="L395" s="1"/>
      <c r="M395" s="1"/>
    </row>
    <row r="396" ht="15.75" customHeight="1" spans="1:13" x14ac:dyDescent="0.25">
      <c r="A396" s="1"/>
      <c r="B396" s="1"/>
      <c r="C396" s="1"/>
      <c r="D396" s="1"/>
      <c r="E396" s="1"/>
      <c r="F396" s="1"/>
      <c r="G396" s="1"/>
      <c r="H396" s="1"/>
      <c r="I396" s="1"/>
      <c r="J396" s="1"/>
      <c r="K396" s="1"/>
      <c r="L396" s="1"/>
      <c r="M396" s="1"/>
    </row>
    <row r="397" ht="15.75" customHeight="1" spans="1:13" x14ac:dyDescent="0.25">
      <c r="A397" s="1"/>
      <c r="B397" s="1"/>
      <c r="C397" s="1"/>
      <c r="D397" s="1"/>
      <c r="E397" s="1"/>
      <c r="F397" s="1"/>
      <c r="G397" s="1"/>
      <c r="H397" s="1"/>
      <c r="I397" s="1"/>
      <c r="J397" s="1"/>
      <c r="K397" s="1"/>
      <c r="L397" s="1"/>
      <c r="M397" s="1"/>
    </row>
    <row r="398" ht="15.75" customHeight="1" spans="1:13" x14ac:dyDescent="0.25">
      <c r="A398" s="1"/>
      <c r="B398" s="1"/>
      <c r="C398" s="1"/>
      <c r="D398" s="1"/>
      <c r="E398" s="1"/>
      <c r="F398" s="1"/>
      <c r="G398" s="1"/>
      <c r="H398" s="1"/>
      <c r="I398" s="1"/>
      <c r="J398" s="1"/>
      <c r="K398" s="1"/>
      <c r="L398" s="1"/>
      <c r="M398" s="1"/>
    </row>
    <row r="399" ht="15.75" customHeight="1" spans="1:13" x14ac:dyDescent="0.25">
      <c r="A399" s="1"/>
      <c r="B399" s="1"/>
      <c r="C399" s="1"/>
      <c r="D399" s="1"/>
      <c r="E399" s="1"/>
      <c r="F399" s="1"/>
      <c r="G399" s="1"/>
      <c r="H399" s="1"/>
      <c r="I399" s="1"/>
      <c r="J399" s="1"/>
      <c r="K399" s="1"/>
      <c r="L399" s="1"/>
      <c r="M399" s="1"/>
    </row>
    <row r="400" ht="15.75" customHeight="1" spans="1:13" x14ac:dyDescent="0.25">
      <c r="A400" s="1"/>
      <c r="B400" s="1"/>
      <c r="C400" s="1"/>
      <c r="D400" s="1"/>
      <c r="E400" s="1"/>
      <c r="F400" s="1"/>
      <c r="G400" s="1"/>
      <c r="H400" s="1"/>
      <c r="I400" s="1"/>
      <c r="J400" s="1"/>
      <c r="K400" s="1"/>
      <c r="L400" s="1"/>
      <c r="M400" s="1"/>
    </row>
    <row r="401" ht="15.75" customHeight="1" spans="1:13" x14ac:dyDescent="0.25">
      <c r="A401" s="1"/>
      <c r="B401" s="1"/>
      <c r="C401" s="1"/>
      <c r="D401" s="1"/>
      <c r="E401" s="1"/>
      <c r="F401" s="1"/>
      <c r="G401" s="1"/>
      <c r="H401" s="1"/>
      <c r="I401" s="1"/>
      <c r="J401" s="1"/>
      <c r="K401" s="1"/>
      <c r="L401" s="1"/>
      <c r="M401" s="1"/>
    </row>
    <row r="402" ht="15.75" customHeight="1" spans="1:13" x14ac:dyDescent="0.25">
      <c r="A402" s="1"/>
      <c r="B402" s="1"/>
      <c r="C402" s="1"/>
      <c r="D402" s="1"/>
      <c r="E402" s="1"/>
      <c r="F402" s="1"/>
      <c r="G402" s="1"/>
      <c r="H402" s="1"/>
      <c r="I402" s="1"/>
      <c r="J402" s="1"/>
      <c r="K402" s="1"/>
      <c r="L402" s="1"/>
      <c r="M402" s="1"/>
    </row>
    <row r="403" ht="15.75" customHeight="1" spans="1:13" x14ac:dyDescent="0.25">
      <c r="A403" s="1"/>
      <c r="B403" s="1"/>
      <c r="C403" s="1"/>
      <c r="D403" s="1"/>
      <c r="E403" s="1"/>
      <c r="F403" s="1"/>
      <c r="G403" s="1"/>
      <c r="H403" s="1"/>
      <c r="I403" s="1"/>
      <c r="J403" s="1"/>
      <c r="K403" s="1"/>
      <c r="L403" s="1"/>
      <c r="M403" s="1"/>
    </row>
    <row r="404" ht="15.75" customHeight="1" spans="1:13" x14ac:dyDescent="0.25">
      <c r="A404" s="1"/>
      <c r="B404" s="1"/>
      <c r="C404" s="1"/>
      <c r="D404" s="1"/>
      <c r="E404" s="1"/>
      <c r="F404" s="1"/>
      <c r="G404" s="1"/>
      <c r="H404" s="1"/>
      <c r="I404" s="1"/>
      <c r="J404" s="1"/>
      <c r="K404" s="1"/>
      <c r="L404" s="1"/>
      <c r="M404" s="1"/>
    </row>
    <row r="405" ht="15.75" customHeight="1" spans="1:13" x14ac:dyDescent="0.25">
      <c r="A405" s="1"/>
      <c r="B405" s="1"/>
      <c r="C405" s="1"/>
      <c r="D405" s="1"/>
      <c r="E405" s="1"/>
      <c r="F405" s="1"/>
      <c r="G405" s="1"/>
      <c r="H405" s="1"/>
      <c r="I405" s="1"/>
      <c r="J405" s="1"/>
      <c r="K405" s="1"/>
      <c r="L405" s="1"/>
      <c r="M405" s="1"/>
    </row>
    <row r="406" ht="15.75" customHeight="1" spans="1:13" x14ac:dyDescent="0.25">
      <c r="A406" s="1"/>
      <c r="B406" s="1"/>
      <c r="C406" s="1"/>
      <c r="D406" s="1"/>
      <c r="E406" s="1"/>
      <c r="F406" s="1"/>
      <c r="G406" s="1"/>
      <c r="H406" s="1"/>
      <c r="I406" s="1"/>
      <c r="J406" s="1"/>
      <c r="K406" s="1"/>
      <c r="L406" s="1"/>
      <c r="M406" s="1"/>
    </row>
    <row r="407" ht="15.75" customHeight="1" spans="1:13" x14ac:dyDescent="0.25">
      <c r="A407" s="1"/>
      <c r="B407" s="1"/>
      <c r="C407" s="1"/>
      <c r="D407" s="1"/>
      <c r="E407" s="1"/>
      <c r="F407" s="1"/>
      <c r="G407" s="1"/>
      <c r="H407" s="1"/>
      <c r="I407" s="1"/>
      <c r="J407" s="1"/>
      <c r="K407" s="1"/>
      <c r="L407" s="1"/>
      <c r="M407" s="1"/>
    </row>
    <row r="408" ht="15.75" customHeight="1" spans="1:13" x14ac:dyDescent="0.25">
      <c r="A408" s="1"/>
      <c r="B408" s="1"/>
      <c r="C408" s="1"/>
      <c r="D408" s="1"/>
      <c r="E408" s="1"/>
      <c r="F408" s="1"/>
      <c r="G408" s="1"/>
      <c r="H408" s="1"/>
      <c r="I408" s="1"/>
      <c r="J408" s="1"/>
      <c r="K408" s="1"/>
      <c r="L408" s="1"/>
      <c r="M408" s="1"/>
    </row>
    <row r="409" ht="15.75" customHeight="1" spans="1:13" x14ac:dyDescent="0.25">
      <c r="A409" s="1"/>
      <c r="B409" s="1"/>
      <c r="C409" s="1"/>
      <c r="D409" s="1"/>
      <c r="E409" s="1"/>
      <c r="F409" s="1"/>
      <c r="G409" s="1"/>
      <c r="H409" s="1"/>
      <c r="I409" s="1"/>
      <c r="J409" s="1"/>
      <c r="K409" s="1"/>
      <c r="L409" s="1"/>
      <c r="M409" s="1"/>
    </row>
    <row r="410" ht="15.75" customHeight="1" spans="1:13" x14ac:dyDescent="0.25">
      <c r="A410" s="1"/>
      <c r="B410" s="1"/>
      <c r="C410" s="1"/>
      <c r="D410" s="1"/>
      <c r="E410" s="1"/>
      <c r="F410" s="1"/>
      <c r="G410" s="1"/>
      <c r="H410" s="1"/>
      <c r="I410" s="1"/>
      <c r="J410" s="1"/>
      <c r="K410" s="1"/>
      <c r="L410" s="1"/>
      <c r="M410" s="1"/>
    </row>
    <row r="411" ht="15.75" customHeight="1" spans="1:13" x14ac:dyDescent="0.25">
      <c r="A411" s="1"/>
      <c r="B411" s="1"/>
      <c r="C411" s="1"/>
      <c r="D411" s="1"/>
      <c r="E411" s="1"/>
      <c r="F411" s="1"/>
      <c r="G411" s="1"/>
      <c r="H411" s="1"/>
      <c r="I411" s="1"/>
      <c r="J411" s="1"/>
      <c r="K411" s="1"/>
      <c r="L411" s="1"/>
      <c r="M411" s="1"/>
    </row>
    <row r="412" ht="15.75" customHeight="1" spans="1:13" x14ac:dyDescent="0.25">
      <c r="A412" s="1"/>
      <c r="B412" s="1"/>
      <c r="C412" s="1"/>
      <c r="D412" s="1"/>
      <c r="E412" s="1"/>
      <c r="F412" s="1"/>
      <c r="G412" s="1"/>
      <c r="H412" s="1"/>
      <c r="I412" s="1"/>
      <c r="J412" s="1"/>
      <c r="K412" s="1"/>
      <c r="L412" s="1"/>
      <c r="M412" s="1"/>
    </row>
    <row r="413" ht="15.75" customHeight="1" spans="1:13" x14ac:dyDescent="0.25">
      <c r="A413" s="1"/>
      <c r="B413" s="1"/>
      <c r="C413" s="1"/>
      <c r="D413" s="1"/>
      <c r="E413" s="1"/>
      <c r="F413" s="1"/>
      <c r="G413" s="1"/>
      <c r="H413" s="1"/>
      <c r="I413" s="1"/>
      <c r="J413" s="1"/>
      <c r="K413" s="1"/>
      <c r="L413" s="1"/>
      <c r="M413" s="1"/>
    </row>
    <row r="414" ht="15.75" customHeight="1" spans="1:13" x14ac:dyDescent="0.25">
      <c r="A414" s="1"/>
      <c r="B414" s="1"/>
      <c r="C414" s="1"/>
      <c r="D414" s="1"/>
      <c r="E414" s="1"/>
      <c r="F414" s="1"/>
      <c r="G414" s="1"/>
      <c r="H414" s="1"/>
      <c r="I414" s="1"/>
      <c r="J414" s="1"/>
      <c r="K414" s="1"/>
      <c r="L414" s="1"/>
      <c r="M414" s="1"/>
    </row>
    <row r="415" ht="15.75" customHeight="1" spans="1:13" x14ac:dyDescent="0.25">
      <c r="A415" s="1"/>
      <c r="B415" s="1"/>
      <c r="C415" s="1"/>
      <c r="D415" s="1"/>
      <c r="E415" s="1"/>
      <c r="F415" s="1"/>
      <c r="G415" s="1"/>
      <c r="H415" s="1"/>
      <c r="I415" s="1"/>
      <c r="J415" s="1"/>
      <c r="K415" s="1"/>
      <c r="L415" s="1"/>
      <c r="M415" s="1"/>
    </row>
    <row r="416" ht="15.75" customHeight="1" spans="1:13" x14ac:dyDescent="0.25">
      <c r="A416" s="1"/>
      <c r="B416" s="1"/>
      <c r="C416" s="1"/>
      <c r="D416" s="1"/>
      <c r="E416" s="1"/>
      <c r="F416" s="1"/>
      <c r="G416" s="1"/>
      <c r="H416" s="1"/>
      <c r="I416" s="1"/>
      <c r="J416" s="1"/>
      <c r="K416" s="1"/>
      <c r="L416" s="1"/>
      <c r="M416" s="1"/>
    </row>
    <row r="417" ht="15.75" customHeight="1" spans="1:13" x14ac:dyDescent="0.25">
      <c r="A417" s="1"/>
      <c r="B417" s="1"/>
      <c r="C417" s="1"/>
      <c r="D417" s="1"/>
      <c r="E417" s="1"/>
      <c r="F417" s="1"/>
      <c r="G417" s="1"/>
      <c r="H417" s="1"/>
      <c r="I417" s="1"/>
      <c r="J417" s="1"/>
      <c r="K417" s="1"/>
      <c r="L417" s="1"/>
      <c r="M417" s="1"/>
    </row>
    <row r="418" ht="15.75" customHeight="1" spans="1:13" x14ac:dyDescent="0.25">
      <c r="A418" s="1"/>
      <c r="B418" s="1"/>
      <c r="C418" s="1"/>
      <c r="D418" s="1"/>
      <c r="E418" s="1"/>
      <c r="F418" s="1"/>
      <c r="G418" s="1"/>
      <c r="H418" s="1"/>
      <c r="I418" s="1"/>
      <c r="J418" s="1"/>
      <c r="K418" s="1"/>
      <c r="L418" s="1"/>
      <c r="M418" s="1"/>
    </row>
    <row r="419" ht="15.75" customHeight="1" spans="1:13" x14ac:dyDescent="0.25">
      <c r="A419" s="1"/>
      <c r="B419" s="1"/>
      <c r="C419" s="1"/>
      <c r="D419" s="1"/>
      <c r="E419" s="1"/>
      <c r="F419" s="1"/>
      <c r="G419" s="1"/>
      <c r="H419" s="1"/>
      <c r="I419" s="1"/>
      <c r="J419" s="1"/>
      <c r="K419" s="1"/>
      <c r="L419" s="1"/>
      <c r="M419" s="1"/>
    </row>
    <row r="420" ht="15.75" customHeight="1" spans="1:13" x14ac:dyDescent="0.25">
      <c r="A420" s="1"/>
      <c r="B420" s="1"/>
      <c r="C420" s="1"/>
      <c r="D420" s="1"/>
      <c r="E420" s="1"/>
      <c r="F420" s="1"/>
      <c r="G420" s="1"/>
      <c r="H420" s="1"/>
      <c r="I420" s="1"/>
      <c r="J420" s="1"/>
      <c r="K420" s="1"/>
      <c r="L420" s="1"/>
      <c r="M420" s="1"/>
    </row>
    <row r="421" ht="15.75" customHeight="1" spans="1:13" x14ac:dyDescent="0.25">
      <c r="A421" s="1"/>
      <c r="B421" s="1"/>
      <c r="C421" s="1"/>
      <c r="D421" s="1"/>
      <c r="E421" s="1"/>
      <c r="F421" s="1"/>
      <c r="G421" s="1"/>
      <c r="H421" s="1"/>
      <c r="I421" s="1"/>
      <c r="J421" s="1"/>
      <c r="K421" s="1"/>
      <c r="L421" s="1"/>
      <c r="M421" s="1"/>
    </row>
    <row r="422" ht="15.75" customHeight="1" spans="1:13" x14ac:dyDescent="0.25">
      <c r="A422" s="1"/>
      <c r="B422" s="1"/>
      <c r="C422" s="1"/>
      <c r="D422" s="1"/>
      <c r="E422" s="1"/>
      <c r="F422" s="1"/>
      <c r="G422" s="1"/>
      <c r="H422" s="1"/>
      <c r="I422" s="1"/>
      <c r="J422" s="1"/>
      <c r="K422" s="1"/>
      <c r="L422" s="1"/>
      <c r="M422" s="1"/>
    </row>
    <row r="423" ht="15.75" customHeight="1" spans="1:13" x14ac:dyDescent="0.25">
      <c r="A423" s="1"/>
      <c r="B423" s="1"/>
      <c r="C423" s="1"/>
      <c r="D423" s="1"/>
      <c r="E423" s="1"/>
      <c r="F423" s="1"/>
      <c r="G423" s="1"/>
      <c r="H423" s="1"/>
      <c r="I423" s="1"/>
      <c r="J423" s="1"/>
      <c r="K423" s="1"/>
      <c r="L423" s="1"/>
      <c r="M423" s="1"/>
    </row>
    <row r="424" ht="15.75" customHeight="1" spans="1:13" x14ac:dyDescent="0.25">
      <c r="A424" s="1"/>
      <c r="B424" s="1"/>
      <c r="C424" s="1"/>
      <c r="D424" s="1"/>
      <c r="E424" s="1"/>
      <c r="F424" s="1"/>
      <c r="G424" s="1"/>
      <c r="H424" s="1"/>
      <c r="I424" s="1"/>
      <c r="J424" s="1"/>
      <c r="K424" s="1"/>
      <c r="L424" s="1"/>
      <c r="M424" s="1"/>
    </row>
    <row r="425" ht="15.75" customHeight="1" spans="1:13" x14ac:dyDescent="0.25">
      <c r="A425" s="1"/>
      <c r="B425" s="1"/>
      <c r="C425" s="1"/>
      <c r="D425" s="1"/>
      <c r="E425" s="1"/>
      <c r="F425" s="1"/>
      <c r="G425" s="1"/>
      <c r="H425" s="1"/>
      <c r="I425" s="1"/>
      <c r="J425" s="1"/>
      <c r="K425" s="1"/>
      <c r="L425" s="1"/>
      <c r="M425" s="1"/>
    </row>
    <row r="426" ht="15.75" customHeight="1" spans="1:13" x14ac:dyDescent="0.25">
      <c r="A426" s="1"/>
      <c r="B426" s="1"/>
      <c r="C426" s="1"/>
      <c r="D426" s="1"/>
      <c r="E426" s="1"/>
      <c r="F426" s="1"/>
      <c r="G426" s="1"/>
      <c r="H426" s="1"/>
      <c r="I426" s="1"/>
      <c r="J426" s="1"/>
      <c r="K426" s="1"/>
      <c r="L426" s="1"/>
      <c r="M426" s="1"/>
    </row>
    <row r="427" ht="15.75" customHeight="1" spans="1:13" x14ac:dyDescent="0.25">
      <c r="A427" s="1"/>
      <c r="B427" s="1"/>
      <c r="C427" s="1"/>
      <c r="D427" s="1"/>
      <c r="E427" s="1"/>
      <c r="F427" s="1"/>
      <c r="G427" s="1"/>
      <c r="H427" s="1"/>
      <c r="I427" s="1"/>
      <c r="J427" s="1"/>
      <c r="K427" s="1"/>
      <c r="L427" s="1"/>
      <c r="M427" s="1"/>
    </row>
    <row r="428" ht="15.75" customHeight="1" spans="1:13" x14ac:dyDescent="0.25">
      <c r="A428" s="1"/>
      <c r="B428" s="1"/>
      <c r="C428" s="1"/>
      <c r="D428" s="1"/>
      <c r="E428" s="1"/>
      <c r="F428" s="1"/>
      <c r="G428" s="1"/>
      <c r="H428" s="1"/>
      <c r="I428" s="1"/>
      <c r="J428" s="1"/>
      <c r="K428" s="1"/>
      <c r="L428" s="1"/>
      <c r="M428" s="1"/>
    </row>
    <row r="429" ht="15.75" customHeight="1" spans="1:13" x14ac:dyDescent="0.25">
      <c r="A429" s="1"/>
      <c r="B429" s="1"/>
      <c r="C429" s="1"/>
      <c r="D429" s="1"/>
      <c r="E429" s="1"/>
      <c r="F429" s="1"/>
      <c r="G429" s="1"/>
      <c r="H429" s="1"/>
      <c r="I429" s="1"/>
      <c r="J429" s="1"/>
      <c r="K429" s="1"/>
      <c r="L429" s="1"/>
      <c r="M429" s="1"/>
    </row>
    <row r="430" ht="15.75" customHeight="1" spans="1:13" x14ac:dyDescent="0.25">
      <c r="A430" s="1"/>
      <c r="B430" s="1"/>
      <c r="C430" s="1"/>
      <c r="D430" s="1"/>
      <c r="E430" s="1"/>
      <c r="F430" s="1"/>
      <c r="G430" s="1"/>
      <c r="H430" s="1"/>
      <c r="I430" s="1"/>
      <c r="J430" s="1"/>
      <c r="K430" s="1"/>
      <c r="L430" s="1"/>
      <c r="M430" s="1"/>
    </row>
    <row r="431" ht="15.75" customHeight="1" spans="1:13" x14ac:dyDescent="0.25">
      <c r="A431" s="1"/>
      <c r="B431" s="1"/>
      <c r="C431" s="1"/>
      <c r="D431" s="1"/>
      <c r="E431" s="1"/>
      <c r="F431" s="1"/>
      <c r="G431" s="1"/>
      <c r="H431" s="1"/>
      <c r="I431" s="1"/>
      <c r="J431" s="1"/>
      <c r="K431" s="1"/>
      <c r="L431" s="1"/>
      <c r="M431" s="1"/>
    </row>
    <row r="432" ht="15.75" customHeight="1" spans="1:13" x14ac:dyDescent="0.25">
      <c r="A432" s="1"/>
      <c r="B432" s="1"/>
      <c r="C432" s="1"/>
      <c r="D432" s="1"/>
      <c r="E432" s="1"/>
      <c r="F432" s="1"/>
      <c r="G432" s="1"/>
      <c r="H432" s="1"/>
      <c r="I432" s="1"/>
      <c r="J432" s="1"/>
      <c r="K432" s="1"/>
      <c r="L432" s="1"/>
      <c r="M432" s="1"/>
    </row>
    <row r="433" ht="15.75" customHeight="1" spans="1:13" x14ac:dyDescent="0.25">
      <c r="A433" s="1"/>
      <c r="B433" s="1"/>
      <c r="C433" s="1"/>
      <c r="D433" s="1"/>
      <c r="E433" s="1"/>
      <c r="F433" s="1"/>
      <c r="G433" s="1"/>
      <c r="H433" s="1"/>
      <c r="I433" s="1"/>
      <c r="J433" s="1"/>
      <c r="K433" s="1"/>
      <c r="L433" s="1"/>
      <c r="M433" s="1"/>
    </row>
    <row r="434" ht="15.75" customHeight="1" spans="1:13" x14ac:dyDescent="0.25">
      <c r="A434" s="1"/>
      <c r="B434" s="1"/>
      <c r="C434" s="1"/>
      <c r="D434" s="1"/>
      <c r="E434" s="1"/>
      <c r="F434" s="1"/>
      <c r="G434" s="1"/>
      <c r="H434" s="1"/>
      <c r="I434" s="1"/>
      <c r="J434" s="1"/>
      <c r="K434" s="1"/>
      <c r="L434" s="1"/>
      <c r="M434" s="1"/>
    </row>
    <row r="435" ht="15.75" customHeight="1" spans="1:13" x14ac:dyDescent="0.25">
      <c r="A435" s="1"/>
      <c r="B435" s="1"/>
      <c r="C435" s="1"/>
      <c r="D435" s="1"/>
      <c r="E435" s="1"/>
      <c r="F435" s="1"/>
      <c r="G435" s="1"/>
      <c r="H435" s="1"/>
      <c r="I435" s="1"/>
      <c r="J435" s="1"/>
      <c r="K435" s="1"/>
      <c r="L435" s="1"/>
      <c r="M435" s="1"/>
    </row>
    <row r="436" ht="15.75" customHeight="1" spans="1:13" x14ac:dyDescent="0.25">
      <c r="A436" s="1"/>
      <c r="B436" s="1"/>
      <c r="C436" s="1"/>
      <c r="D436" s="1"/>
      <c r="E436" s="1"/>
      <c r="F436" s="1"/>
      <c r="G436" s="1"/>
      <c r="H436" s="1"/>
      <c r="I436" s="1"/>
      <c r="J436" s="1"/>
      <c r="K436" s="1"/>
      <c r="L436" s="1"/>
      <c r="M436" s="1"/>
    </row>
    <row r="437" ht="15.75" customHeight="1" spans="1:13" x14ac:dyDescent="0.25">
      <c r="A437" s="1"/>
      <c r="B437" s="1"/>
      <c r="C437" s="1"/>
      <c r="D437" s="1"/>
      <c r="E437" s="1"/>
      <c r="F437" s="1"/>
      <c r="G437" s="1"/>
      <c r="H437" s="1"/>
      <c r="I437" s="1"/>
      <c r="J437" s="1"/>
      <c r="K437" s="1"/>
      <c r="L437" s="1"/>
      <c r="M437" s="1"/>
    </row>
    <row r="438" ht="15.75" customHeight="1" spans="1:13" x14ac:dyDescent="0.25">
      <c r="A438" s="1"/>
      <c r="B438" s="1"/>
      <c r="C438" s="1"/>
      <c r="D438" s="1"/>
      <c r="E438" s="1"/>
      <c r="F438" s="1"/>
      <c r="G438" s="1"/>
      <c r="H438" s="1"/>
      <c r="I438" s="1"/>
      <c r="J438" s="1"/>
      <c r="K438" s="1"/>
      <c r="L438" s="1"/>
      <c r="M438" s="1"/>
    </row>
    <row r="439" ht="15.75" customHeight="1" spans="1:13" x14ac:dyDescent="0.25">
      <c r="A439" s="1"/>
      <c r="B439" s="1"/>
      <c r="C439" s="1"/>
      <c r="D439" s="1"/>
      <c r="E439" s="1"/>
      <c r="F439" s="1"/>
      <c r="G439" s="1"/>
      <c r="H439" s="1"/>
      <c r="I439" s="1"/>
      <c r="J439" s="1"/>
      <c r="K439" s="1"/>
      <c r="L439" s="1"/>
      <c r="M439" s="1"/>
    </row>
    <row r="440" ht="15.75" customHeight="1" spans="1:13" x14ac:dyDescent="0.25">
      <c r="A440" s="1"/>
      <c r="B440" s="1"/>
      <c r="C440" s="1"/>
      <c r="D440" s="1"/>
      <c r="E440" s="1"/>
      <c r="F440" s="1"/>
      <c r="G440" s="1"/>
      <c r="H440" s="1"/>
      <c r="I440" s="1"/>
      <c r="J440" s="1"/>
      <c r="K440" s="1"/>
      <c r="L440" s="1"/>
      <c r="M440" s="1"/>
    </row>
    <row r="441" ht="15.75" customHeight="1" spans="1:13" x14ac:dyDescent="0.25">
      <c r="A441" s="1"/>
      <c r="B441" s="1"/>
      <c r="C441" s="1"/>
      <c r="D441" s="1"/>
      <c r="E441" s="1"/>
      <c r="F441" s="1"/>
      <c r="G441" s="1"/>
      <c r="H441" s="1"/>
      <c r="I441" s="1"/>
      <c r="J441" s="1"/>
      <c r="K441" s="1"/>
      <c r="L441" s="1"/>
      <c r="M441" s="1"/>
    </row>
    <row r="442" ht="15.75" customHeight="1" spans="1:13" x14ac:dyDescent="0.25">
      <c r="A442" s="1"/>
      <c r="B442" s="1"/>
      <c r="C442" s="1"/>
      <c r="D442" s="1"/>
      <c r="E442" s="1"/>
      <c r="F442" s="1"/>
      <c r="G442" s="1"/>
      <c r="H442" s="1"/>
      <c r="I442" s="1"/>
      <c r="J442" s="1"/>
      <c r="K442" s="1"/>
      <c r="L442" s="1"/>
      <c r="M442" s="1"/>
    </row>
    <row r="443" ht="15.75" customHeight="1" spans="1:13" x14ac:dyDescent="0.25">
      <c r="A443" s="1"/>
      <c r="B443" s="1"/>
      <c r="C443" s="1"/>
      <c r="D443" s="1"/>
      <c r="E443" s="1"/>
      <c r="F443" s="1"/>
      <c r="G443" s="1"/>
      <c r="H443" s="1"/>
      <c r="I443" s="1"/>
      <c r="J443" s="1"/>
      <c r="K443" s="1"/>
      <c r="L443" s="1"/>
      <c r="M443" s="1"/>
    </row>
    <row r="444" ht="15.75" customHeight="1" spans="1:13" x14ac:dyDescent="0.25">
      <c r="A444" s="1"/>
      <c r="B444" s="1"/>
      <c r="C444" s="1"/>
      <c r="D444" s="1"/>
      <c r="E444" s="1"/>
      <c r="F444" s="1"/>
      <c r="G444" s="1"/>
      <c r="H444" s="1"/>
      <c r="I444" s="1"/>
      <c r="J444" s="1"/>
      <c r="K444" s="1"/>
      <c r="L444" s="1"/>
      <c r="M444" s="1"/>
    </row>
    <row r="445" ht="15.75" customHeight="1" spans="1:13" x14ac:dyDescent="0.25">
      <c r="A445" s="1"/>
      <c r="B445" s="1"/>
      <c r="C445" s="1"/>
      <c r="D445" s="1"/>
      <c r="E445" s="1"/>
      <c r="F445" s="1"/>
      <c r="G445" s="1"/>
      <c r="H445" s="1"/>
      <c r="I445" s="1"/>
      <c r="J445" s="1"/>
      <c r="K445" s="1"/>
      <c r="L445" s="1"/>
      <c r="M445" s="1"/>
    </row>
    <row r="446" ht="15.75" customHeight="1" spans="1:13" x14ac:dyDescent="0.25">
      <c r="A446" s="1"/>
      <c r="B446" s="1"/>
      <c r="C446" s="1"/>
      <c r="D446" s="1"/>
      <c r="E446" s="1"/>
      <c r="F446" s="1"/>
      <c r="G446" s="1"/>
      <c r="H446" s="1"/>
      <c r="I446" s="1"/>
      <c r="J446" s="1"/>
      <c r="K446" s="1"/>
      <c r="L446" s="1"/>
      <c r="M446" s="1"/>
    </row>
    <row r="447" ht="15.75" customHeight="1" spans="1:13" x14ac:dyDescent="0.25">
      <c r="A447" s="1"/>
      <c r="B447" s="1"/>
      <c r="C447" s="1"/>
      <c r="D447" s="1"/>
      <c r="E447" s="1"/>
      <c r="F447" s="1"/>
      <c r="G447" s="1"/>
      <c r="H447" s="1"/>
      <c r="I447" s="1"/>
      <c r="J447" s="1"/>
      <c r="K447" s="1"/>
      <c r="L447" s="1"/>
      <c r="M447" s="1"/>
    </row>
    <row r="448" ht="15.75" customHeight="1" spans="1:13" x14ac:dyDescent="0.25">
      <c r="A448" s="1"/>
      <c r="B448" s="1"/>
      <c r="C448" s="1"/>
      <c r="D448" s="1"/>
      <c r="E448" s="1"/>
      <c r="F448" s="1"/>
      <c r="G448" s="1"/>
      <c r="H448" s="1"/>
      <c r="I448" s="1"/>
      <c r="J448" s="1"/>
      <c r="K448" s="1"/>
      <c r="L448" s="1"/>
      <c r="M448" s="1"/>
    </row>
    <row r="449" ht="15.75" customHeight="1" spans="1:13" x14ac:dyDescent="0.25">
      <c r="A449" s="1"/>
      <c r="B449" s="1"/>
      <c r="C449" s="1"/>
      <c r="D449" s="1"/>
      <c r="E449" s="1"/>
      <c r="F449" s="1"/>
      <c r="G449" s="1"/>
      <c r="H449" s="1"/>
      <c r="I449" s="1"/>
      <c r="J449" s="1"/>
      <c r="K449" s="1"/>
      <c r="L449" s="1"/>
      <c r="M449" s="1"/>
    </row>
    <row r="450" ht="15.75" customHeight="1" spans="1:13" x14ac:dyDescent="0.25">
      <c r="A450" s="1"/>
      <c r="B450" s="1"/>
      <c r="C450" s="1"/>
      <c r="D450" s="1"/>
      <c r="E450" s="1"/>
      <c r="F450" s="1"/>
      <c r="G450" s="1"/>
      <c r="H450" s="1"/>
      <c r="I450" s="1"/>
      <c r="J450" s="1"/>
      <c r="K450" s="1"/>
      <c r="L450" s="1"/>
      <c r="M450" s="1"/>
    </row>
    <row r="451" ht="15.75" customHeight="1" spans="1:13" x14ac:dyDescent="0.25">
      <c r="A451" s="1"/>
      <c r="B451" s="1"/>
      <c r="C451" s="1"/>
      <c r="D451" s="1"/>
      <c r="E451" s="1"/>
      <c r="F451" s="1"/>
      <c r="G451" s="1"/>
      <c r="H451" s="1"/>
      <c r="I451" s="1"/>
      <c r="J451" s="1"/>
      <c r="K451" s="1"/>
      <c r="L451" s="1"/>
      <c r="M451" s="1"/>
    </row>
    <row r="452" ht="15.75" customHeight="1" spans="1:13" x14ac:dyDescent="0.25">
      <c r="A452" s="1"/>
      <c r="B452" s="1"/>
      <c r="C452" s="1"/>
      <c r="D452" s="1"/>
      <c r="E452" s="1"/>
      <c r="F452" s="1"/>
      <c r="G452" s="1"/>
      <c r="H452" s="1"/>
      <c r="I452" s="1"/>
      <c r="J452" s="1"/>
      <c r="K452" s="1"/>
      <c r="L452" s="1"/>
      <c r="M452" s="1"/>
    </row>
    <row r="453" ht="15.75" customHeight="1" spans="1:13" x14ac:dyDescent="0.25">
      <c r="A453" s="1"/>
      <c r="B453" s="1"/>
      <c r="C453" s="1"/>
      <c r="D453" s="1"/>
      <c r="E453" s="1"/>
      <c r="F453" s="1"/>
      <c r="G453" s="1"/>
      <c r="H453" s="1"/>
      <c r="I453" s="1"/>
      <c r="J453" s="1"/>
      <c r="K453" s="1"/>
      <c r="L453" s="1"/>
      <c r="M453" s="1"/>
    </row>
    <row r="454" ht="15.75" customHeight="1" spans="1:13" x14ac:dyDescent="0.25">
      <c r="A454" s="1"/>
      <c r="B454" s="1"/>
      <c r="C454" s="1"/>
      <c r="D454" s="1"/>
      <c r="E454" s="1"/>
      <c r="F454" s="1"/>
      <c r="G454" s="1"/>
      <c r="H454" s="1"/>
      <c r="I454" s="1"/>
      <c r="J454" s="1"/>
      <c r="K454" s="1"/>
      <c r="L454" s="1"/>
      <c r="M454" s="1"/>
    </row>
    <row r="455" ht="15.75" customHeight="1" spans="1:13" x14ac:dyDescent="0.25">
      <c r="A455" s="1"/>
      <c r="B455" s="1"/>
      <c r="C455" s="1"/>
      <c r="D455" s="1"/>
      <c r="E455" s="1"/>
      <c r="F455" s="1"/>
      <c r="G455" s="1"/>
      <c r="H455" s="1"/>
      <c r="I455" s="1"/>
      <c r="J455" s="1"/>
      <c r="K455" s="1"/>
      <c r="L455" s="1"/>
      <c r="M455" s="1"/>
    </row>
    <row r="456" ht="15.75" customHeight="1" spans="1:13" x14ac:dyDescent="0.25">
      <c r="A456" s="1"/>
      <c r="B456" s="1"/>
      <c r="C456" s="1"/>
      <c r="D456" s="1"/>
      <c r="E456" s="1"/>
      <c r="F456" s="1"/>
      <c r="G456" s="1"/>
      <c r="H456" s="1"/>
      <c r="I456" s="1"/>
      <c r="J456" s="1"/>
      <c r="K456" s="1"/>
      <c r="L456" s="1"/>
      <c r="M456" s="1"/>
    </row>
    <row r="457" ht="15.75" customHeight="1" spans="1:13" x14ac:dyDescent="0.25">
      <c r="A457" s="1"/>
      <c r="B457" s="1"/>
      <c r="C457" s="1"/>
      <c r="D457" s="1"/>
      <c r="E457" s="1"/>
      <c r="F457" s="1"/>
      <c r="G457" s="1"/>
      <c r="H457" s="1"/>
      <c r="I457" s="1"/>
      <c r="J457" s="1"/>
      <c r="K457" s="1"/>
      <c r="L457" s="1"/>
      <c r="M457" s="1"/>
    </row>
    <row r="458" ht="15.75" customHeight="1" spans="1:13" x14ac:dyDescent="0.25">
      <c r="A458" s="1"/>
      <c r="B458" s="1"/>
      <c r="C458" s="1"/>
      <c r="D458" s="1"/>
      <c r="E458" s="1"/>
      <c r="F458" s="1"/>
      <c r="G458" s="1"/>
      <c r="H458" s="1"/>
      <c r="I458" s="1"/>
      <c r="J458" s="1"/>
      <c r="K458" s="1"/>
      <c r="L458" s="1"/>
      <c r="M458" s="1"/>
    </row>
    <row r="459" ht="15.75" customHeight="1" spans="1:13" x14ac:dyDescent="0.25">
      <c r="A459" s="1"/>
      <c r="B459" s="1"/>
      <c r="C459" s="1"/>
      <c r="D459" s="1"/>
      <c r="E459" s="1"/>
      <c r="F459" s="1"/>
      <c r="G459" s="1"/>
      <c r="H459" s="1"/>
      <c r="I459" s="1"/>
      <c r="J459" s="1"/>
      <c r="K459" s="1"/>
      <c r="L459" s="1"/>
      <c r="M459" s="1"/>
    </row>
    <row r="460" ht="15.75" customHeight="1" spans="1:13" x14ac:dyDescent="0.25">
      <c r="A460" s="1"/>
      <c r="B460" s="1"/>
      <c r="C460" s="1"/>
      <c r="D460" s="1"/>
      <c r="E460" s="1"/>
      <c r="F460" s="1"/>
      <c r="G460" s="1"/>
      <c r="H460" s="1"/>
      <c r="I460" s="1"/>
      <c r="J460" s="1"/>
      <c r="K460" s="1"/>
      <c r="L460" s="1"/>
      <c r="M460" s="1"/>
    </row>
    <row r="461" ht="15.75" customHeight="1" spans="1:13" x14ac:dyDescent="0.25">
      <c r="A461" s="1"/>
      <c r="B461" s="1"/>
      <c r="C461" s="1"/>
      <c r="D461" s="1"/>
      <c r="E461" s="1"/>
      <c r="F461" s="1"/>
      <c r="G461" s="1"/>
      <c r="H461" s="1"/>
      <c r="I461" s="1"/>
      <c r="J461" s="1"/>
      <c r="K461" s="1"/>
      <c r="L461" s="1"/>
      <c r="M461" s="1"/>
    </row>
    <row r="462" ht="15.75" customHeight="1" spans="1:13" x14ac:dyDescent="0.25">
      <c r="A462" s="1"/>
      <c r="B462" s="1"/>
      <c r="C462" s="1"/>
      <c r="D462" s="1"/>
      <c r="E462" s="1"/>
      <c r="F462" s="1"/>
      <c r="G462" s="1"/>
      <c r="H462" s="1"/>
      <c r="I462" s="1"/>
      <c r="J462" s="1"/>
      <c r="K462" s="1"/>
      <c r="L462" s="1"/>
      <c r="M462" s="1"/>
    </row>
    <row r="463" ht="15.75" customHeight="1" spans="1:13" x14ac:dyDescent="0.25">
      <c r="A463" s="1"/>
      <c r="B463" s="1"/>
      <c r="C463" s="1"/>
      <c r="D463" s="1"/>
      <c r="E463" s="1"/>
      <c r="F463" s="1"/>
      <c r="G463" s="1"/>
      <c r="H463" s="1"/>
      <c r="I463" s="1"/>
      <c r="J463" s="1"/>
      <c r="K463" s="1"/>
      <c r="L463" s="1"/>
      <c r="M463" s="1"/>
    </row>
    <row r="464" ht="15.75" customHeight="1" spans="1:13" x14ac:dyDescent="0.25">
      <c r="A464" s="1"/>
      <c r="B464" s="1"/>
      <c r="C464" s="1"/>
      <c r="D464" s="1"/>
      <c r="E464" s="1"/>
      <c r="F464" s="1"/>
      <c r="G464" s="1"/>
      <c r="H464" s="1"/>
      <c r="I464" s="1"/>
      <c r="J464" s="1"/>
      <c r="K464" s="1"/>
      <c r="L464" s="1"/>
      <c r="M464" s="1"/>
    </row>
    <row r="465" ht="15.75" customHeight="1" spans="1:13" x14ac:dyDescent="0.25">
      <c r="A465" s="1"/>
      <c r="B465" s="1"/>
      <c r="C465" s="1"/>
      <c r="D465" s="1"/>
      <c r="E465" s="1"/>
      <c r="F465" s="1"/>
      <c r="G465" s="1"/>
      <c r="H465" s="1"/>
      <c r="I465" s="1"/>
      <c r="J465" s="1"/>
      <c r="K465" s="1"/>
      <c r="L465" s="1"/>
      <c r="M465" s="1"/>
    </row>
    <row r="466" ht="15.75" customHeight="1" spans="1:13" x14ac:dyDescent="0.25">
      <c r="A466" s="1"/>
      <c r="B466" s="1"/>
      <c r="C466" s="1"/>
      <c r="D466" s="1"/>
      <c r="E466" s="1"/>
      <c r="F466" s="1"/>
      <c r="G466" s="1"/>
      <c r="H466" s="1"/>
      <c r="I466" s="1"/>
      <c r="J466" s="1"/>
      <c r="K466" s="1"/>
      <c r="L466" s="1"/>
      <c r="M466" s="1"/>
    </row>
    <row r="467" ht="15.75" customHeight="1" spans="1:13" x14ac:dyDescent="0.25">
      <c r="A467" s="1"/>
      <c r="B467" s="1"/>
      <c r="C467" s="1"/>
      <c r="D467" s="1"/>
      <c r="E467" s="1"/>
      <c r="F467" s="1"/>
      <c r="G467" s="1"/>
      <c r="H467" s="1"/>
      <c r="I467" s="1"/>
      <c r="J467" s="1"/>
      <c r="K467" s="1"/>
      <c r="L467" s="1"/>
      <c r="M467" s="1"/>
    </row>
    <row r="468" ht="15.75" customHeight="1" spans="1:13" x14ac:dyDescent="0.25">
      <c r="A468" s="1"/>
      <c r="B468" s="1"/>
      <c r="C468" s="1"/>
      <c r="D468" s="1"/>
      <c r="E468" s="1"/>
      <c r="F468" s="1"/>
      <c r="G468" s="1"/>
      <c r="H468" s="1"/>
      <c r="I468" s="1"/>
      <c r="J468" s="1"/>
      <c r="K468" s="1"/>
      <c r="L468" s="1"/>
      <c r="M468" s="1"/>
    </row>
    <row r="469" ht="15.75" customHeight="1" spans="1:13" x14ac:dyDescent="0.25">
      <c r="A469" s="1"/>
      <c r="B469" s="1"/>
      <c r="C469" s="1"/>
      <c r="D469" s="1"/>
      <c r="E469" s="1"/>
      <c r="F469" s="1"/>
      <c r="G469" s="1"/>
      <c r="H469" s="1"/>
      <c r="I469" s="1"/>
      <c r="J469" s="1"/>
      <c r="K469" s="1"/>
      <c r="L469" s="1"/>
      <c r="M469" s="1"/>
    </row>
    <row r="470" ht="15.75" customHeight="1" spans="1:13" x14ac:dyDescent="0.25">
      <c r="A470" s="1"/>
      <c r="B470" s="1"/>
      <c r="C470" s="1"/>
      <c r="D470" s="1"/>
      <c r="E470" s="1"/>
      <c r="F470" s="1"/>
      <c r="G470" s="1"/>
      <c r="H470" s="1"/>
      <c r="I470" s="1"/>
      <c r="J470" s="1"/>
      <c r="K470" s="1"/>
      <c r="L470" s="1"/>
      <c r="M470" s="1"/>
    </row>
    <row r="471" ht="15.75" customHeight="1" spans="1:13" x14ac:dyDescent="0.25">
      <c r="A471" s="1"/>
      <c r="B471" s="1"/>
      <c r="C471" s="1"/>
      <c r="D471" s="1"/>
      <c r="E471" s="1"/>
      <c r="F471" s="1"/>
      <c r="G471" s="1"/>
      <c r="H471" s="1"/>
      <c r="I471" s="1"/>
      <c r="J471" s="1"/>
      <c r="K471" s="1"/>
      <c r="L471" s="1"/>
      <c r="M471" s="1"/>
    </row>
    <row r="472" ht="15.75" customHeight="1" spans="1:13" x14ac:dyDescent="0.25">
      <c r="A472" s="1"/>
      <c r="B472" s="1"/>
      <c r="C472" s="1"/>
      <c r="D472" s="1"/>
      <c r="E472" s="1"/>
      <c r="F472" s="1"/>
      <c r="G472" s="1"/>
      <c r="H472" s="1"/>
      <c r="I472" s="1"/>
      <c r="J472" s="1"/>
      <c r="K472" s="1"/>
      <c r="L472" s="1"/>
      <c r="M472" s="1"/>
    </row>
    <row r="473" ht="15.75" customHeight="1" spans="1:13" x14ac:dyDescent="0.25">
      <c r="A473" s="1"/>
      <c r="B473" s="1"/>
      <c r="C473" s="1"/>
      <c r="D473" s="1"/>
      <c r="E473" s="1"/>
      <c r="F473" s="1"/>
      <c r="G473" s="1"/>
      <c r="H473" s="1"/>
      <c r="I473" s="1"/>
      <c r="J473" s="1"/>
      <c r="K473" s="1"/>
      <c r="L473" s="1"/>
      <c r="M473" s="1"/>
    </row>
    <row r="474" ht="15.75" customHeight="1" spans="1:13" x14ac:dyDescent="0.25">
      <c r="A474" s="1"/>
      <c r="B474" s="1"/>
      <c r="C474" s="1"/>
      <c r="D474" s="1"/>
      <c r="E474" s="1"/>
      <c r="F474" s="1"/>
      <c r="G474" s="1"/>
      <c r="H474" s="1"/>
      <c r="I474" s="1"/>
      <c r="J474" s="1"/>
      <c r="K474" s="1"/>
      <c r="L474" s="1"/>
      <c r="M474" s="1"/>
    </row>
    <row r="475" ht="15.75" customHeight="1" spans="1:13" x14ac:dyDescent="0.25">
      <c r="A475" s="1"/>
      <c r="B475" s="1"/>
      <c r="C475" s="1"/>
      <c r="D475" s="1"/>
      <c r="E475" s="1"/>
      <c r="F475" s="1"/>
      <c r="G475" s="1"/>
      <c r="H475" s="1"/>
      <c r="I475" s="1"/>
      <c r="J475" s="1"/>
      <c r="K475" s="1"/>
      <c r="L475" s="1"/>
      <c r="M475" s="1"/>
    </row>
    <row r="476" ht="15.75" customHeight="1" spans="1:13" x14ac:dyDescent="0.25">
      <c r="A476" s="1"/>
      <c r="B476" s="1"/>
      <c r="C476" s="1"/>
      <c r="D476" s="1"/>
      <c r="E476" s="1"/>
      <c r="F476" s="1"/>
      <c r="G476" s="1"/>
      <c r="H476" s="1"/>
      <c r="I476" s="1"/>
      <c r="J476" s="1"/>
      <c r="K476" s="1"/>
      <c r="L476" s="1"/>
      <c r="M476" s="1"/>
    </row>
    <row r="477" ht="15.75" customHeight="1" spans="1:13" x14ac:dyDescent="0.25">
      <c r="A477" s="1"/>
      <c r="B477" s="1"/>
      <c r="C477" s="1"/>
      <c r="D477" s="1"/>
      <c r="E477" s="1"/>
      <c r="F477" s="1"/>
      <c r="G477" s="1"/>
      <c r="H477" s="1"/>
      <c r="I477" s="1"/>
      <c r="J477" s="1"/>
      <c r="K477" s="1"/>
      <c r="L477" s="1"/>
      <c r="M477" s="1"/>
    </row>
    <row r="478" ht="15.75" customHeight="1" spans="1:13" x14ac:dyDescent="0.25">
      <c r="A478" s="1"/>
      <c r="B478" s="1"/>
      <c r="C478" s="1"/>
      <c r="D478" s="1"/>
      <c r="E478" s="1"/>
      <c r="F478" s="1"/>
      <c r="G478" s="1"/>
      <c r="H478" s="1"/>
      <c r="I478" s="1"/>
      <c r="J478" s="1"/>
      <c r="K478" s="1"/>
      <c r="L478" s="1"/>
      <c r="M478" s="1"/>
    </row>
    <row r="479" ht="15.75" customHeight="1" spans="1:13" x14ac:dyDescent="0.25">
      <c r="A479" s="1"/>
      <c r="B479" s="1"/>
      <c r="C479" s="1"/>
      <c r="D479" s="1"/>
      <c r="E479" s="1"/>
      <c r="F479" s="1"/>
      <c r="G479" s="1"/>
      <c r="H479" s="1"/>
      <c r="I479" s="1"/>
      <c r="J479" s="1"/>
      <c r="K479" s="1"/>
      <c r="L479" s="1"/>
      <c r="M479" s="1"/>
    </row>
    <row r="480" ht="15.75" customHeight="1" spans="1:13" x14ac:dyDescent="0.25">
      <c r="A480" s="1"/>
      <c r="B480" s="1"/>
      <c r="C480" s="1"/>
      <c r="D480" s="1"/>
      <c r="E480" s="1"/>
      <c r="F480" s="1"/>
      <c r="G480" s="1"/>
      <c r="H480" s="1"/>
      <c r="I480" s="1"/>
      <c r="J480" s="1"/>
      <c r="K480" s="1"/>
      <c r="L480" s="1"/>
      <c r="M480" s="1"/>
    </row>
    <row r="481" ht="15.75" customHeight="1" spans="1:13" x14ac:dyDescent="0.25">
      <c r="A481" s="1"/>
      <c r="B481" s="1"/>
      <c r="C481" s="1"/>
      <c r="D481" s="1"/>
      <c r="E481" s="1"/>
      <c r="F481" s="1"/>
      <c r="G481" s="1"/>
      <c r="H481" s="1"/>
      <c r="I481" s="1"/>
      <c r="J481" s="1"/>
      <c r="K481" s="1"/>
      <c r="L481" s="1"/>
      <c r="M481" s="1"/>
    </row>
    <row r="482" ht="15.75" customHeight="1" spans="1:13" x14ac:dyDescent="0.25">
      <c r="A482" s="1"/>
      <c r="B482" s="1"/>
      <c r="C482" s="1"/>
      <c r="D482" s="1"/>
      <c r="E482" s="1"/>
      <c r="F482" s="1"/>
      <c r="G482" s="1"/>
      <c r="H482" s="1"/>
      <c r="I482" s="1"/>
      <c r="J482" s="1"/>
      <c r="K482" s="1"/>
      <c r="L482" s="1"/>
      <c r="M482" s="1"/>
    </row>
    <row r="483" ht="15.75" customHeight="1" spans="1:13" x14ac:dyDescent="0.25">
      <c r="A483" s="1"/>
      <c r="B483" s="1"/>
      <c r="C483" s="1"/>
      <c r="D483" s="1"/>
      <c r="E483" s="1"/>
      <c r="F483" s="1"/>
      <c r="G483" s="1"/>
      <c r="H483" s="1"/>
      <c r="I483" s="1"/>
      <c r="J483" s="1"/>
      <c r="K483" s="1"/>
      <c r="L483" s="1"/>
      <c r="M483" s="1"/>
    </row>
    <row r="484" ht="15.75" customHeight="1" spans="1:13" x14ac:dyDescent="0.25">
      <c r="A484" s="1"/>
      <c r="B484" s="1"/>
      <c r="C484" s="1"/>
      <c r="D484" s="1"/>
      <c r="E484" s="1"/>
      <c r="F484" s="1"/>
      <c r="G484" s="1"/>
      <c r="H484" s="1"/>
      <c r="I484" s="1"/>
      <c r="J484" s="1"/>
      <c r="K484" s="1"/>
      <c r="L484" s="1"/>
      <c r="M484" s="1"/>
    </row>
    <row r="485" ht="15.75" customHeight="1" spans="1:13" x14ac:dyDescent="0.25">
      <c r="A485" s="1"/>
      <c r="B485" s="1"/>
      <c r="C485" s="1"/>
      <c r="D485" s="1"/>
      <c r="E485" s="1"/>
      <c r="F485" s="1"/>
      <c r="G485" s="1"/>
      <c r="H485" s="1"/>
      <c r="I485" s="1"/>
      <c r="J485" s="1"/>
      <c r="K485" s="1"/>
      <c r="L485" s="1"/>
      <c r="M485" s="1"/>
    </row>
    <row r="486" ht="15.75" customHeight="1" spans="1:13" x14ac:dyDescent="0.25">
      <c r="A486" s="1"/>
      <c r="B486" s="1"/>
      <c r="C486" s="1"/>
      <c r="D486" s="1"/>
      <c r="E486" s="1"/>
      <c r="F486" s="1"/>
      <c r="G486" s="1"/>
      <c r="H486" s="1"/>
      <c r="I486" s="1"/>
      <c r="J486" s="1"/>
      <c r="K486" s="1"/>
      <c r="L486" s="1"/>
      <c r="M486" s="1"/>
    </row>
    <row r="487" ht="15.75" customHeight="1" spans="1:13" x14ac:dyDescent="0.25">
      <c r="A487" s="1"/>
      <c r="B487" s="1"/>
      <c r="C487" s="1"/>
      <c r="D487" s="1"/>
      <c r="E487" s="1"/>
      <c r="F487" s="1"/>
      <c r="G487" s="1"/>
      <c r="H487" s="1"/>
      <c r="I487" s="1"/>
      <c r="J487" s="1"/>
      <c r="K487" s="1"/>
      <c r="L487" s="1"/>
      <c r="M487" s="1"/>
    </row>
    <row r="488" ht="15.75" customHeight="1" spans="1:13" x14ac:dyDescent="0.25">
      <c r="A488" s="1"/>
      <c r="B488" s="1"/>
      <c r="C488" s="1"/>
      <c r="D488" s="1"/>
      <c r="E488" s="1"/>
      <c r="F488" s="1"/>
      <c r="G488" s="1"/>
      <c r="H488" s="1"/>
      <c r="I488" s="1"/>
      <c r="J488" s="1"/>
      <c r="K488" s="1"/>
      <c r="L488" s="1"/>
      <c r="M488" s="1"/>
    </row>
    <row r="489" ht="15.75" customHeight="1" spans="1:13" x14ac:dyDescent="0.25">
      <c r="A489" s="1"/>
      <c r="B489" s="1"/>
      <c r="C489" s="1"/>
      <c r="D489" s="1"/>
      <c r="E489" s="1"/>
      <c r="F489" s="1"/>
      <c r="G489" s="1"/>
      <c r="H489" s="1"/>
      <c r="I489" s="1"/>
      <c r="J489" s="1"/>
      <c r="K489" s="1"/>
      <c r="L489" s="1"/>
      <c r="M489" s="1"/>
    </row>
    <row r="490" ht="15.75" customHeight="1" spans="1:13" x14ac:dyDescent="0.25">
      <c r="A490" s="1"/>
      <c r="B490" s="1"/>
      <c r="C490" s="1"/>
      <c r="D490" s="1"/>
      <c r="E490" s="1"/>
      <c r="F490" s="1"/>
      <c r="G490" s="1"/>
      <c r="H490" s="1"/>
      <c r="I490" s="1"/>
      <c r="J490" s="1"/>
      <c r="K490" s="1"/>
      <c r="L490" s="1"/>
      <c r="M490" s="1"/>
    </row>
    <row r="491" ht="15.75" customHeight="1" spans="1:13" x14ac:dyDescent="0.25">
      <c r="A491" s="1"/>
      <c r="B491" s="1"/>
      <c r="C491" s="1"/>
      <c r="D491" s="1"/>
      <c r="E491" s="1"/>
      <c r="F491" s="1"/>
      <c r="G491" s="1"/>
      <c r="H491" s="1"/>
      <c r="I491" s="1"/>
      <c r="J491" s="1"/>
      <c r="K491" s="1"/>
      <c r="L491" s="1"/>
      <c r="M491" s="1"/>
    </row>
    <row r="492" ht="15.75" customHeight="1" spans="1:13" x14ac:dyDescent="0.25">
      <c r="A492" s="1"/>
      <c r="B492" s="1"/>
      <c r="C492" s="1"/>
      <c r="D492" s="1"/>
      <c r="E492" s="1"/>
      <c r="F492" s="1"/>
      <c r="G492" s="1"/>
      <c r="H492" s="1"/>
      <c r="I492" s="1"/>
      <c r="J492" s="1"/>
      <c r="K492" s="1"/>
      <c r="L492" s="1"/>
      <c r="M492" s="1"/>
    </row>
    <row r="493" ht="15.75" customHeight="1" spans="1:13" x14ac:dyDescent="0.25">
      <c r="A493" s="1"/>
      <c r="B493" s="1"/>
      <c r="C493" s="1"/>
      <c r="D493" s="1"/>
      <c r="E493" s="1"/>
      <c r="F493" s="1"/>
      <c r="G493" s="1"/>
      <c r="H493" s="1"/>
      <c r="I493" s="1"/>
      <c r="J493" s="1"/>
      <c r="K493" s="1"/>
      <c r="L493" s="1"/>
      <c r="M493" s="1"/>
    </row>
    <row r="494" ht="15.75" customHeight="1" spans="1:13" x14ac:dyDescent="0.25">
      <c r="A494" s="1"/>
      <c r="B494" s="1"/>
      <c r="C494" s="1"/>
      <c r="D494" s="1"/>
      <c r="E494" s="1"/>
      <c r="F494" s="1"/>
      <c r="G494" s="1"/>
      <c r="H494" s="1"/>
      <c r="I494" s="1"/>
      <c r="J494" s="1"/>
      <c r="K494" s="1"/>
      <c r="L494" s="1"/>
      <c r="M494" s="1"/>
    </row>
    <row r="495" ht="15.75" customHeight="1" spans="1:13" x14ac:dyDescent="0.25">
      <c r="A495" s="1"/>
      <c r="B495" s="1"/>
      <c r="C495" s="1"/>
      <c r="D495" s="1"/>
      <c r="E495" s="1"/>
      <c r="F495" s="1"/>
      <c r="G495" s="1"/>
      <c r="H495" s="1"/>
      <c r="I495" s="1"/>
      <c r="J495" s="1"/>
      <c r="K495" s="1"/>
      <c r="L495" s="1"/>
      <c r="M495" s="1"/>
    </row>
    <row r="496" ht="15.75" customHeight="1" spans="1:13" x14ac:dyDescent="0.25">
      <c r="A496" s="1"/>
      <c r="B496" s="1"/>
      <c r="C496" s="1"/>
      <c r="D496" s="1"/>
      <c r="E496" s="1"/>
      <c r="F496" s="1"/>
      <c r="G496" s="1"/>
      <c r="H496" s="1"/>
      <c r="I496" s="1"/>
      <c r="J496" s="1"/>
      <c r="K496" s="1"/>
      <c r="L496" s="1"/>
      <c r="M496" s="1"/>
    </row>
    <row r="497" ht="15.75" customHeight="1" spans="1:13" x14ac:dyDescent="0.25">
      <c r="A497" s="1"/>
      <c r="B497" s="1"/>
      <c r="C497" s="1"/>
      <c r="D497" s="1"/>
      <c r="E497" s="1"/>
      <c r="F497" s="1"/>
      <c r="G497" s="1"/>
      <c r="H497" s="1"/>
      <c r="I497" s="1"/>
      <c r="J497" s="1"/>
      <c r="K497" s="1"/>
      <c r="L497" s="1"/>
      <c r="M497" s="1"/>
    </row>
    <row r="498" ht="15.75" customHeight="1" spans="1:13" x14ac:dyDescent="0.25">
      <c r="A498" s="1"/>
      <c r="B498" s="1"/>
      <c r="C498" s="1"/>
      <c r="D498" s="1"/>
      <c r="E498" s="1"/>
      <c r="F498" s="1"/>
      <c r="G498" s="1"/>
      <c r="H498" s="1"/>
      <c r="I498" s="1"/>
      <c r="J498" s="1"/>
      <c r="K498" s="1"/>
      <c r="L498" s="1"/>
      <c r="M498" s="1"/>
    </row>
    <row r="499" ht="15.75" customHeight="1" spans="1:13" x14ac:dyDescent="0.25">
      <c r="A499" s="1"/>
      <c r="B499" s="1"/>
      <c r="C499" s="1"/>
      <c r="D499" s="1"/>
      <c r="E499" s="1"/>
      <c r="F499" s="1"/>
      <c r="G499" s="1"/>
      <c r="H499" s="1"/>
      <c r="I499" s="1"/>
      <c r="J499" s="1"/>
      <c r="K499" s="1"/>
      <c r="L499" s="1"/>
      <c r="M499" s="1"/>
    </row>
    <row r="500" ht="15.75" customHeight="1" spans="1:13" x14ac:dyDescent="0.25">
      <c r="A500" s="1"/>
      <c r="B500" s="1"/>
      <c r="C500" s="1"/>
      <c r="D500" s="1"/>
      <c r="E500" s="1"/>
      <c r="F500" s="1"/>
      <c r="G500" s="1"/>
      <c r="H500" s="1"/>
      <c r="I500" s="1"/>
      <c r="J500" s="1"/>
      <c r="K500" s="1"/>
      <c r="L500" s="1"/>
      <c r="M500" s="1"/>
    </row>
    <row r="501" ht="15.75" customHeight="1" spans="1:13" x14ac:dyDescent="0.25">
      <c r="A501" s="1"/>
      <c r="B501" s="1"/>
      <c r="C501" s="1"/>
      <c r="D501" s="1"/>
      <c r="E501" s="1"/>
      <c r="F501" s="1"/>
      <c r="G501" s="1"/>
      <c r="H501" s="1"/>
      <c r="I501" s="1"/>
      <c r="J501" s="1"/>
      <c r="K501" s="1"/>
      <c r="L501" s="1"/>
      <c r="M501" s="1"/>
    </row>
    <row r="502" ht="15.75" customHeight="1" spans="1:13" x14ac:dyDescent="0.25">
      <c r="A502" s="1"/>
      <c r="B502" s="1"/>
      <c r="C502" s="1"/>
      <c r="D502" s="1"/>
      <c r="E502" s="1"/>
      <c r="F502" s="1"/>
      <c r="G502" s="1"/>
      <c r="H502" s="1"/>
      <c r="I502" s="1"/>
      <c r="J502" s="1"/>
      <c r="K502" s="1"/>
      <c r="L502" s="1"/>
      <c r="M502" s="1"/>
    </row>
    <row r="503" ht="15.75" customHeight="1" spans="1:13" x14ac:dyDescent="0.25">
      <c r="A503" s="1"/>
      <c r="B503" s="1"/>
      <c r="C503" s="1"/>
      <c r="D503" s="1"/>
      <c r="E503" s="1"/>
      <c r="F503" s="1"/>
      <c r="G503" s="1"/>
      <c r="H503" s="1"/>
      <c r="I503" s="1"/>
      <c r="J503" s="1"/>
      <c r="K503" s="1"/>
      <c r="L503" s="1"/>
      <c r="M503" s="1"/>
    </row>
    <row r="504" ht="15.75" customHeight="1" spans="1:13" x14ac:dyDescent="0.25">
      <c r="A504" s="1"/>
      <c r="B504" s="1"/>
      <c r="C504" s="1"/>
      <c r="D504" s="1"/>
      <c r="E504" s="1"/>
      <c r="F504" s="1"/>
      <c r="G504" s="1"/>
      <c r="H504" s="1"/>
      <c r="I504" s="1"/>
      <c r="J504" s="1"/>
      <c r="K504" s="1"/>
      <c r="L504" s="1"/>
      <c r="M504" s="1"/>
    </row>
    <row r="505" ht="15.75" customHeight="1" spans="1:13" x14ac:dyDescent="0.25">
      <c r="A505" s="1"/>
      <c r="B505" s="1"/>
      <c r="C505" s="1"/>
      <c r="D505" s="1"/>
      <c r="E505" s="1"/>
      <c r="F505" s="1"/>
      <c r="G505" s="1"/>
      <c r="H505" s="1"/>
      <c r="I505" s="1"/>
      <c r="J505" s="1"/>
      <c r="K505" s="1"/>
      <c r="L505" s="1"/>
      <c r="M505" s="1"/>
    </row>
    <row r="506" ht="15.75" customHeight="1" spans="1:13" x14ac:dyDescent="0.25">
      <c r="A506" s="1"/>
      <c r="B506" s="1"/>
      <c r="C506" s="1"/>
      <c r="D506" s="1"/>
      <c r="E506" s="1"/>
      <c r="F506" s="1"/>
      <c r="G506" s="1"/>
      <c r="H506" s="1"/>
      <c r="I506" s="1"/>
      <c r="J506" s="1"/>
      <c r="K506" s="1"/>
      <c r="L506" s="1"/>
      <c r="M506" s="1"/>
    </row>
    <row r="507" ht="15.75" customHeight="1" spans="1:13" x14ac:dyDescent="0.25">
      <c r="A507" s="1"/>
      <c r="B507" s="1"/>
      <c r="C507" s="1"/>
      <c r="D507" s="1"/>
      <c r="E507" s="1"/>
      <c r="F507" s="1"/>
      <c r="G507" s="1"/>
      <c r="H507" s="1"/>
      <c r="I507" s="1"/>
      <c r="J507" s="1"/>
      <c r="K507" s="1"/>
      <c r="L507" s="1"/>
      <c r="M507" s="1"/>
    </row>
    <row r="508" ht="15.75" customHeight="1" spans="1:13" x14ac:dyDescent="0.25">
      <c r="A508" s="1"/>
      <c r="B508" s="1"/>
      <c r="C508" s="1"/>
      <c r="D508" s="1"/>
      <c r="E508" s="1"/>
      <c r="F508" s="1"/>
      <c r="G508" s="1"/>
      <c r="H508" s="1"/>
      <c r="I508" s="1"/>
      <c r="J508" s="1"/>
      <c r="K508" s="1"/>
      <c r="L508" s="1"/>
      <c r="M508" s="1"/>
    </row>
    <row r="509" ht="15.75" customHeight="1" spans="1:13" x14ac:dyDescent="0.25">
      <c r="A509" s="1"/>
      <c r="B509" s="1"/>
      <c r="C509" s="1"/>
      <c r="D509" s="1"/>
      <c r="E509" s="1"/>
      <c r="F509" s="1"/>
      <c r="G509" s="1"/>
      <c r="H509" s="1"/>
      <c r="I509" s="1"/>
      <c r="J509" s="1"/>
      <c r="K509" s="1"/>
      <c r="L509" s="1"/>
      <c r="M509" s="1"/>
    </row>
    <row r="510" ht="15.75" customHeight="1" spans="1:13" x14ac:dyDescent="0.25">
      <c r="A510" s="1"/>
      <c r="B510" s="1"/>
      <c r="C510" s="1"/>
      <c r="D510" s="1"/>
      <c r="E510" s="1"/>
      <c r="F510" s="1"/>
      <c r="G510" s="1"/>
      <c r="H510" s="1"/>
      <c r="I510" s="1"/>
      <c r="J510" s="1"/>
      <c r="K510" s="1"/>
      <c r="L510" s="1"/>
      <c r="M510" s="1"/>
    </row>
    <row r="511" ht="15.75" customHeight="1" spans="1:13" x14ac:dyDescent="0.25">
      <c r="A511" s="1"/>
      <c r="B511" s="1"/>
      <c r="C511" s="1"/>
      <c r="D511" s="1"/>
      <c r="E511" s="1"/>
      <c r="F511" s="1"/>
      <c r="G511" s="1"/>
      <c r="H511" s="1"/>
      <c r="I511" s="1"/>
      <c r="J511" s="1"/>
      <c r="K511" s="1"/>
      <c r="L511" s="1"/>
      <c r="M511" s="1"/>
    </row>
    <row r="512" ht="15.75" customHeight="1" spans="1:13" x14ac:dyDescent="0.25">
      <c r="A512" s="1"/>
      <c r="B512" s="1"/>
      <c r="C512" s="1"/>
      <c r="D512" s="1"/>
      <c r="E512" s="1"/>
      <c r="F512" s="1"/>
      <c r="G512" s="1"/>
      <c r="H512" s="1"/>
      <c r="I512" s="1"/>
      <c r="J512" s="1"/>
      <c r="K512" s="1"/>
      <c r="L512" s="1"/>
      <c r="M512" s="1"/>
    </row>
    <row r="513" ht="15.75" customHeight="1" spans="1:13" x14ac:dyDescent="0.25">
      <c r="A513" s="1"/>
      <c r="B513" s="1"/>
      <c r="C513" s="1"/>
      <c r="D513" s="1"/>
      <c r="E513" s="1"/>
      <c r="F513" s="1"/>
      <c r="G513" s="1"/>
      <c r="H513" s="1"/>
      <c r="I513" s="1"/>
      <c r="J513" s="1"/>
      <c r="K513" s="1"/>
      <c r="L513" s="1"/>
      <c r="M513" s="1"/>
    </row>
    <row r="514" ht="15.75" customHeight="1" spans="1:13" x14ac:dyDescent="0.25">
      <c r="A514" s="1"/>
      <c r="B514" s="1"/>
      <c r="C514" s="1"/>
      <c r="D514" s="1"/>
      <c r="E514" s="1"/>
      <c r="F514" s="1"/>
      <c r="G514" s="1"/>
      <c r="H514" s="1"/>
      <c r="I514" s="1"/>
      <c r="J514" s="1"/>
      <c r="K514" s="1"/>
      <c r="L514" s="1"/>
      <c r="M514" s="1"/>
    </row>
    <row r="515" ht="15.75" customHeight="1" spans="1:13" x14ac:dyDescent="0.25">
      <c r="A515" s="1"/>
      <c r="B515" s="1"/>
      <c r="C515" s="1"/>
      <c r="D515" s="1"/>
      <c r="E515" s="1"/>
      <c r="F515" s="1"/>
      <c r="G515" s="1"/>
      <c r="H515" s="1"/>
      <c r="I515" s="1"/>
      <c r="J515" s="1"/>
      <c r="K515" s="1"/>
      <c r="L515" s="1"/>
      <c r="M515" s="1"/>
    </row>
    <row r="516" ht="15.75" customHeight="1" spans="1:13" x14ac:dyDescent="0.25">
      <c r="A516" s="1"/>
      <c r="B516" s="1"/>
      <c r="C516" s="1"/>
      <c r="D516" s="1"/>
      <c r="E516" s="1"/>
      <c r="F516" s="1"/>
      <c r="G516" s="1"/>
      <c r="H516" s="1"/>
      <c r="I516" s="1"/>
      <c r="J516" s="1"/>
      <c r="K516" s="1"/>
      <c r="L516" s="1"/>
      <c r="M516" s="1"/>
    </row>
    <row r="517" ht="15.75" customHeight="1" spans="1:13" x14ac:dyDescent="0.25">
      <c r="A517" s="1"/>
      <c r="B517" s="1"/>
      <c r="C517" s="1"/>
      <c r="D517" s="1"/>
      <c r="E517" s="1"/>
      <c r="F517" s="1"/>
      <c r="G517" s="1"/>
      <c r="H517" s="1"/>
      <c r="I517" s="1"/>
      <c r="J517" s="1"/>
      <c r="K517" s="1"/>
      <c r="L517" s="1"/>
      <c r="M517" s="1"/>
    </row>
    <row r="518" ht="15.75" customHeight="1" spans="1:13" x14ac:dyDescent="0.25">
      <c r="A518" s="1"/>
      <c r="B518" s="1"/>
      <c r="C518" s="1"/>
      <c r="D518" s="1"/>
      <c r="E518" s="1"/>
      <c r="F518" s="1"/>
      <c r="G518" s="1"/>
      <c r="H518" s="1"/>
      <c r="I518" s="1"/>
      <c r="J518" s="1"/>
      <c r="K518" s="1"/>
      <c r="L518" s="1"/>
      <c r="M518" s="1"/>
    </row>
    <row r="519" ht="15.75" customHeight="1" spans="1:13" x14ac:dyDescent="0.25">
      <c r="A519" s="1"/>
      <c r="B519" s="1"/>
      <c r="C519" s="1"/>
      <c r="D519" s="1"/>
      <c r="E519" s="1"/>
      <c r="F519" s="1"/>
      <c r="G519" s="1"/>
      <c r="H519" s="1"/>
      <c r="I519" s="1"/>
      <c r="J519" s="1"/>
      <c r="K519" s="1"/>
      <c r="L519" s="1"/>
      <c r="M519" s="1"/>
    </row>
    <row r="520" ht="15.75" customHeight="1" spans="1:13" x14ac:dyDescent="0.25">
      <c r="A520" s="1"/>
      <c r="B520" s="1"/>
      <c r="C520" s="1"/>
      <c r="D520" s="1"/>
      <c r="E520" s="1"/>
      <c r="F520" s="1"/>
      <c r="G520" s="1"/>
      <c r="H520" s="1"/>
      <c r="I520" s="1"/>
      <c r="J520" s="1"/>
      <c r="K520" s="1"/>
      <c r="L520" s="1"/>
      <c r="M520" s="1"/>
    </row>
    <row r="521" ht="15.75" customHeight="1" spans="1:13" x14ac:dyDescent="0.25">
      <c r="A521" s="1"/>
      <c r="B521" s="1"/>
      <c r="C521" s="1"/>
      <c r="D521" s="1"/>
      <c r="E521" s="1"/>
      <c r="F521" s="1"/>
      <c r="G521" s="1"/>
      <c r="H521" s="1"/>
      <c r="I521" s="1"/>
      <c r="J521" s="1"/>
      <c r="K521" s="1"/>
      <c r="L521" s="1"/>
      <c r="M521" s="1"/>
    </row>
    <row r="522" ht="15.75" customHeight="1" spans="1:13" x14ac:dyDescent="0.25">
      <c r="A522" s="1"/>
      <c r="B522" s="1"/>
      <c r="C522" s="1"/>
      <c r="D522" s="1"/>
      <c r="E522" s="1"/>
      <c r="F522" s="1"/>
      <c r="G522" s="1"/>
      <c r="H522" s="1"/>
      <c r="I522" s="1"/>
      <c r="J522" s="1"/>
      <c r="K522" s="1"/>
      <c r="L522" s="1"/>
      <c r="M522" s="1"/>
    </row>
    <row r="523" ht="15.75" customHeight="1" spans="1:13" x14ac:dyDescent="0.25">
      <c r="A523" s="1"/>
      <c r="B523" s="1"/>
      <c r="C523" s="1"/>
      <c r="D523" s="1"/>
      <c r="E523" s="1"/>
      <c r="F523" s="1"/>
      <c r="G523" s="1"/>
      <c r="H523" s="1"/>
      <c r="I523" s="1"/>
      <c r="J523" s="1"/>
      <c r="K523" s="1"/>
      <c r="L523" s="1"/>
      <c r="M523" s="1"/>
    </row>
    <row r="524" ht="15.75" customHeight="1" spans="1:13" x14ac:dyDescent="0.25">
      <c r="A524" s="1"/>
      <c r="B524" s="1"/>
      <c r="C524" s="1"/>
      <c r="D524" s="1"/>
      <c r="E524" s="1"/>
      <c r="F524" s="1"/>
      <c r="G524" s="1"/>
      <c r="H524" s="1"/>
      <c r="I524" s="1"/>
      <c r="J524" s="1"/>
      <c r="K524" s="1"/>
      <c r="L524" s="1"/>
      <c r="M524" s="1"/>
    </row>
    <row r="525" ht="15.75" customHeight="1" spans="1:13" x14ac:dyDescent="0.25">
      <c r="A525" s="1"/>
      <c r="B525" s="1"/>
      <c r="C525" s="1"/>
      <c r="D525" s="1"/>
      <c r="E525" s="1"/>
      <c r="F525" s="1"/>
      <c r="G525" s="1"/>
      <c r="H525" s="1"/>
      <c r="I525" s="1"/>
      <c r="J525" s="1"/>
      <c r="K525" s="1"/>
      <c r="L525" s="1"/>
      <c r="M525" s="1"/>
    </row>
    <row r="526" ht="15.75" customHeight="1" spans="1:13" x14ac:dyDescent="0.25">
      <c r="A526" s="1"/>
      <c r="B526" s="1"/>
      <c r="C526" s="1"/>
      <c r="D526" s="1"/>
      <c r="E526" s="1"/>
      <c r="F526" s="1"/>
      <c r="G526" s="1"/>
      <c r="H526" s="1"/>
      <c r="I526" s="1"/>
      <c r="J526" s="1"/>
      <c r="K526" s="1"/>
      <c r="L526" s="1"/>
      <c r="M526" s="1"/>
    </row>
    <row r="527" ht="15.75" customHeight="1" spans="1:13" x14ac:dyDescent="0.25">
      <c r="A527" s="1"/>
      <c r="B527" s="1"/>
      <c r="C527" s="1"/>
      <c r="D527" s="1"/>
      <c r="E527" s="1"/>
      <c r="F527" s="1"/>
      <c r="G527" s="1"/>
      <c r="H527" s="1"/>
      <c r="I527" s="1"/>
      <c r="J527" s="1"/>
      <c r="K527" s="1"/>
      <c r="L527" s="1"/>
      <c r="M527" s="1"/>
    </row>
    <row r="528" ht="15.75" customHeight="1" spans="1:13" x14ac:dyDescent="0.25">
      <c r="A528" s="1"/>
      <c r="B528" s="1"/>
      <c r="C528" s="1"/>
      <c r="D528" s="1"/>
      <c r="E528" s="1"/>
      <c r="F528" s="1"/>
      <c r="G528" s="1"/>
      <c r="H528" s="1"/>
      <c r="I528" s="1"/>
      <c r="J528" s="1"/>
      <c r="K528" s="1"/>
      <c r="L528" s="1"/>
      <c r="M528" s="1"/>
    </row>
    <row r="529" ht="15.75" customHeight="1" spans="1:13" x14ac:dyDescent="0.25">
      <c r="A529" s="1"/>
      <c r="B529" s="1"/>
      <c r="C529" s="1"/>
      <c r="D529" s="1"/>
      <c r="E529" s="1"/>
      <c r="F529" s="1"/>
      <c r="G529" s="1"/>
      <c r="H529" s="1"/>
      <c r="I529" s="1"/>
      <c r="J529" s="1"/>
      <c r="K529" s="1"/>
      <c r="L529" s="1"/>
      <c r="M529" s="1"/>
    </row>
    <row r="530" ht="15.75" customHeight="1" spans="1:13" x14ac:dyDescent="0.25">
      <c r="A530" s="1"/>
      <c r="B530" s="1"/>
      <c r="C530" s="1"/>
      <c r="D530" s="1"/>
      <c r="E530" s="1"/>
      <c r="F530" s="1"/>
      <c r="G530" s="1"/>
      <c r="H530" s="1"/>
      <c r="I530" s="1"/>
      <c r="J530" s="1"/>
      <c r="K530" s="1"/>
      <c r="L530" s="1"/>
      <c r="M530" s="1"/>
    </row>
    <row r="531" ht="15.75" customHeight="1" spans="1:13" x14ac:dyDescent="0.25">
      <c r="A531" s="1"/>
      <c r="B531" s="1"/>
      <c r="C531" s="1"/>
      <c r="D531" s="1"/>
      <c r="E531" s="1"/>
      <c r="F531" s="1"/>
      <c r="G531" s="1"/>
      <c r="H531" s="1"/>
      <c r="I531" s="1"/>
      <c r="J531" s="1"/>
      <c r="K531" s="1"/>
      <c r="L531" s="1"/>
      <c r="M531" s="1"/>
    </row>
    <row r="532" ht="15.75" customHeight="1" spans="1:13" x14ac:dyDescent="0.25">
      <c r="A532" s="1"/>
      <c r="B532" s="1"/>
      <c r="C532" s="1"/>
      <c r="D532" s="1"/>
      <c r="E532" s="1"/>
      <c r="F532" s="1"/>
      <c r="G532" s="1"/>
      <c r="H532" s="1"/>
      <c r="I532" s="1"/>
      <c r="J532" s="1"/>
      <c r="K532" s="1"/>
      <c r="L532" s="1"/>
      <c r="M532" s="1"/>
    </row>
    <row r="533" ht="15.75" customHeight="1" spans="1:13" x14ac:dyDescent="0.25">
      <c r="A533" s="1"/>
      <c r="B533" s="1"/>
      <c r="C533" s="1"/>
      <c r="D533" s="1"/>
      <c r="E533" s="1"/>
      <c r="F533" s="1"/>
      <c r="G533" s="1"/>
      <c r="H533" s="1"/>
      <c r="I533" s="1"/>
      <c r="J533" s="1"/>
      <c r="K533" s="1"/>
      <c r="L533" s="1"/>
      <c r="M533" s="1"/>
    </row>
    <row r="534" ht="15.75" customHeight="1" spans="1:13" x14ac:dyDescent="0.25">
      <c r="A534" s="1"/>
      <c r="B534" s="1"/>
      <c r="C534" s="1"/>
      <c r="D534" s="1"/>
      <c r="E534" s="1"/>
      <c r="F534" s="1"/>
      <c r="G534" s="1"/>
      <c r="H534" s="1"/>
      <c r="I534" s="1"/>
      <c r="J534" s="1"/>
      <c r="K534" s="1"/>
      <c r="L534" s="1"/>
      <c r="M534" s="1"/>
    </row>
    <row r="535" ht="15.75" customHeight="1" spans="1:13" x14ac:dyDescent="0.25">
      <c r="A535" s="1"/>
      <c r="B535" s="1"/>
      <c r="C535" s="1"/>
      <c r="D535" s="1"/>
      <c r="E535" s="1"/>
      <c r="F535" s="1"/>
      <c r="G535" s="1"/>
      <c r="H535" s="1"/>
      <c r="I535" s="1"/>
      <c r="J535" s="1"/>
      <c r="K535" s="1"/>
      <c r="L535" s="1"/>
      <c r="M535" s="1"/>
    </row>
    <row r="536" ht="15.75" customHeight="1" spans="1:13" x14ac:dyDescent="0.25">
      <c r="A536" s="1"/>
      <c r="B536" s="1"/>
      <c r="C536" s="1"/>
      <c r="D536" s="1"/>
      <c r="E536" s="1"/>
      <c r="F536" s="1"/>
      <c r="G536" s="1"/>
      <c r="H536" s="1"/>
      <c r="I536" s="1"/>
      <c r="J536" s="1"/>
      <c r="K536" s="1"/>
      <c r="L536" s="1"/>
      <c r="M536" s="1"/>
    </row>
    <row r="537" ht="15.75" customHeight="1" spans="1:13" x14ac:dyDescent="0.25">
      <c r="A537" s="1"/>
      <c r="B537" s="1"/>
      <c r="C537" s="1"/>
      <c r="D537" s="1"/>
      <c r="E537" s="1"/>
      <c r="F537" s="1"/>
      <c r="G537" s="1"/>
      <c r="H537" s="1"/>
      <c r="I537" s="1"/>
      <c r="J537" s="1"/>
      <c r="K537" s="1"/>
      <c r="L537" s="1"/>
      <c r="M537" s="1"/>
    </row>
    <row r="538" ht="15.75" customHeight="1" spans="1:13" x14ac:dyDescent="0.25">
      <c r="A538" s="1"/>
      <c r="B538" s="1"/>
      <c r="C538" s="1"/>
      <c r="D538" s="1"/>
      <c r="E538" s="1"/>
      <c r="F538" s="1"/>
      <c r="G538" s="1"/>
      <c r="H538" s="1"/>
      <c r="I538" s="1"/>
      <c r="J538" s="1"/>
      <c r="K538" s="1"/>
      <c r="L538" s="1"/>
      <c r="M538" s="1"/>
    </row>
    <row r="539" ht="15.75" customHeight="1" spans="1:13" x14ac:dyDescent="0.25">
      <c r="A539" s="1"/>
      <c r="B539" s="1"/>
      <c r="C539" s="1"/>
      <c r="D539" s="1"/>
      <c r="E539" s="1"/>
      <c r="F539" s="1"/>
      <c r="G539" s="1"/>
      <c r="H539" s="1"/>
      <c r="I539" s="1"/>
      <c r="J539" s="1"/>
      <c r="K539" s="1"/>
      <c r="L539" s="1"/>
      <c r="M539" s="1"/>
    </row>
    <row r="540" ht="15.75" customHeight="1" spans="1:13" x14ac:dyDescent="0.25">
      <c r="A540" s="1"/>
      <c r="B540" s="1"/>
      <c r="C540" s="1"/>
      <c r="D540" s="1"/>
      <c r="E540" s="1"/>
      <c r="F540" s="1"/>
      <c r="G540" s="1"/>
      <c r="H540" s="1"/>
      <c r="I540" s="1"/>
      <c r="J540" s="1"/>
      <c r="K540" s="1"/>
      <c r="L540" s="1"/>
      <c r="M540" s="1"/>
    </row>
    <row r="541" ht="15.75" customHeight="1" spans="1:13" x14ac:dyDescent="0.25">
      <c r="A541" s="1"/>
      <c r="B541" s="1"/>
      <c r="C541" s="1"/>
      <c r="D541" s="1"/>
      <c r="E541" s="1"/>
      <c r="F541" s="1"/>
      <c r="G541" s="1"/>
      <c r="H541" s="1"/>
      <c r="I541" s="1"/>
      <c r="J541" s="1"/>
      <c r="K541" s="1"/>
      <c r="L541" s="1"/>
      <c r="M541" s="1"/>
    </row>
    <row r="542" ht="15.75" customHeight="1" spans="1:13" x14ac:dyDescent="0.25">
      <c r="A542" s="1"/>
      <c r="B542" s="1"/>
      <c r="C542" s="1"/>
      <c r="D542" s="1"/>
      <c r="E542" s="1"/>
      <c r="F542" s="1"/>
      <c r="G542" s="1"/>
      <c r="H542" s="1"/>
      <c r="I542" s="1"/>
      <c r="J542" s="1"/>
      <c r="K542" s="1"/>
      <c r="L542" s="1"/>
      <c r="M542" s="1"/>
    </row>
    <row r="543" ht="15.75" customHeight="1" spans="1:13" x14ac:dyDescent="0.25">
      <c r="A543" s="1"/>
      <c r="B543" s="1"/>
      <c r="C543" s="1"/>
      <c r="D543" s="1"/>
      <c r="E543" s="1"/>
      <c r="F543" s="1"/>
      <c r="G543" s="1"/>
      <c r="H543" s="1"/>
      <c r="I543" s="1"/>
      <c r="J543" s="1"/>
      <c r="K543" s="1"/>
      <c r="L543" s="1"/>
      <c r="M543" s="1"/>
    </row>
    <row r="544" ht="15.75" customHeight="1" spans="1:13" x14ac:dyDescent="0.25">
      <c r="A544" s="1"/>
      <c r="B544" s="1"/>
      <c r="C544" s="1"/>
      <c r="D544" s="1"/>
      <c r="E544" s="1"/>
      <c r="F544" s="1"/>
      <c r="G544" s="1"/>
      <c r="H544" s="1"/>
      <c r="I544" s="1"/>
      <c r="J544" s="1"/>
      <c r="K544" s="1"/>
      <c r="L544" s="1"/>
      <c r="M544" s="1"/>
    </row>
    <row r="545" ht="15.75" customHeight="1" spans="1:13" x14ac:dyDescent="0.25">
      <c r="A545" s="1"/>
      <c r="B545" s="1"/>
      <c r="C545" s="1"/>
      <c r="D545" s="1"/>
      <c r="E545" s="1"/>
      <c r="F545" s="1"/>
      <c r="G545" s="1"/>
      <c r="H545" s="1"/>
      <c r="I545" s="1"/>
      <c r="J545" s="1"/>
      <c r="K545" s="1"/>
      <c r="L545" s="1"/>
      <c r="M545" s="1"/>
    </row>
    <row r="546" ht="15.75" customHeight="1" spans="1:13" x14ac:dyDescent="0.25">
      <c r="A546" s="1"/>
      <c r="B546" s="1"/>
      <c r="C546" s="1"/>
      <c r="D546" s="1"/>
      <c r="E546" s="1"/>
      <c r="F546" s="1"/>
      <c r="G546" s="1"/>
      <c r="H546" s="1"/>
      <c r="I546" s="1"/>
      <c r="J546" s="1"/>
      <c r="K546" s="1"/>
      <c r="L546" s="1"/>
      <c r="M546" s="1"/>
    </row>
    <row r="547" ht="15.75" customHeight="1" spans="1:13" x14ac:dyDescent="0.25">
      <c r="A547" s="1"/>
      <c r="B547" s="1"/>
      <c r="C547" s="1"/>
      <c r="D547" s="1"/>
      <c r="E547" s="1"/>
      <c r="F547" s="1"/>
      <c r="G547" s="1"/>
      <c r="H547" s="1"/>
      <c r="I547" s="1"/>
      <c r="J547" s="1"/>
      <c r="K547" s="1"/>
      <c r="L547" s="1"/>
      <c r="M547" s="1"/>
    </row>
    <row r="548" ht="15.75" customHeight="1" spans="1:13" x14ac:dyDescent="0.25">
      <c r="A548" s="1"/>
      <c r="B548" s="1"/>
      <c r="C548" s="1"/>
      <c r="D548" s="1"/>
      <c r="E548" s="1"/>
      <c r="F548" s="1"/>
      <c r="G548" s="1"/>
      <c r="H548" s="1"/>
      <c r="I548" s="1"/>
      <c r="J548" s="1"/>
      <c r="K548" s="1"/>
      <c r="L548" s="1"/>
      <c r="M548" s="1"/>
    </row>
    <row r="549" ht="15.75" customHeight="1" spans="1:13" x14ac:dyDescent="0.25">
      <c r="A549" s="1"/>
      <c r="B549" s="1"/>
      <c r="C549" s="1"/>
      <c r="D549" s="1"/>
      <c r="E549" s="1"/>
      <c r="F549" s="1"/>
      <c r="G549" s="1"/>
      <c r="H549" s="1"/>
      <c r="I549" s="1"/>
      <c r="J549" s="1"/>
      <c r="K549" s="1"/>
      <c r="L549" s="1"/>
      <c r="M549" s="1"/>
    </row>
    <row r="550" ht="15.75" customHeight="1" spans="1:13" x14ac:dyDescent="0.25">
      <c r="A550" s="1"/>
      <c r="B550" s="1"/>
      <c r="C550" s="1"/>
      <c r="D550" s="1"/>
      <c r="E550" s="1"/>
      <c r="F550" s="1"/>
      <c r="G550" s="1"/>
      <c r="H550" s="1"/>
      <c r="I550" s="1"/>
      <c r="J550" s="1"/>
      <c r="K550" s="1"/>
      <c r="L550" s="1"/>
      <c r="M550" s="1"/>
    </row>
    <row r="551" ht="15.75" customHeight="1" spans="1:13" x14ac:dyDescent="0.25">
      <c r="A551" s="1"/>
      <c r="B551" s="1"/>
      <c r="C551" s="1"/>
      <c r="D551" s="1"/>
      <c r="E551" s="1"/>
      <c r="F551" s="1"/>
      <c r="G551" s="1"/>
      <c r="H551" s="1"/>
      <c r="I551" s="1"/>
      <c r="J551" s="1"/>
      <c r="K551" s="1"/>
      <c r="L551" s="1"/>
      <c r="M551" s="1"/>
    </row>
    <row r="552" ht="15.75" customHeight="1" spans="1:13" x14ac:dyDescent="0.25">
      <c r="A552" s="1"/>
      <c r="B552" s="1"/>
      <c r="C552" s="1"/>
      <c r="D552" s="1"/>
      <c r="E552" s="1"/>
      <c r="F552" s="1"/>
      <c r="G552" s="1"/>
      <c r="H552" s="1"/>
      <c r="I552" s="1"/>
      <c r="J552" s="1"/>
      <c r="K552" s="1"/>
      <c r="L552" s="1"/>
      <c r="M552" s="1"/>
    </row>
    <row r="553" ht="15.75" customHeight="1" spans="1:13" x14ac:dyDescent="0.25">
      <c r="A553" s="1"/>
      <c r="B553" s="1"/>
      <c r="C553" s="1"/>
      <c r="D553" s="1"/>
      <c r="E553" s="1"/>
      <c r="F553" s="1"/>
      <c r="G553" s="1"/>
      <c r="H553" s="1"/>
      <c r="I553" s="1"/>
      <c r="J553" s="1"/>
      <c r="K553" s="1"/>
      <c r="L553" s="1"/>
      <c r="M553" s="1"/>
    </row>
    <row r="554" ht="15.75" customHeight="1" spans="1:13" x14ac:dyDescent="0.25">
      <c r="A554" s="1"/>
      <c r="B554" s="1"/>
      <c r="C554" s="1"/>
      <c r="D554" s="1"/>
      <c r="E554" s="1"/>
      <c r="F554" s="1"/>
      <c r="G554" s="1"/>
      <c r="H554" s="1"/>
      <c r="I554" s="1"/>
      <c r="J554" s="1"/>
      <c r="K554" s="1"/>
      <c r="L554" s="1"/>
      <c r="M554" s="1"/>
    </row>
    <row r="555" ht="15.75" customHeight="1" spans="1:13" x14ac:dyDescent="0.25">
      <c r="A555" s="1"/>
      <c r="B555" s="1"/>
      <c r="C555" s="1"/>
      <c r="D555" s="1"/>
      <c r="E555" s="1"/>
      <c r="F555" s="1"/>
      <c r="G555" s="1"/>
      <c r="H555" s="1"/>
      <c r="I555" s="1"/>
      <c r="J555" s="1"/>
      <c r="K555" s="1"/>
      <c r="L555" s="1"/>
      <c r="M555" s="1"/>
    </row>
    <row r="556" ht="15.75" customHeight="1" spans="1:13" x14ac:dyDescent="0.25">
      <c r="A556" s="1"/>
      <c r="B556" s="1"/>
      <c r="C556" s="1"/>
      <c r="D556" s="1"/>
      <c r="E556" s="1"/>
      <c r="F556" s="1"/>
      <c r="G556" s="1"/>
      <c r="H556" s="1"/>
      <c r="I556" s="1"/>
      <c r="J556" s="1"/>
      <c r="K556" s="1"/>
      <c r="L556" s="1"/>
      <c r="M556" s="1"/>
    </row>
    <row r="557" ht="15.75" customHeight="1" spans="1:13" x14ac:dyDescent="0.25">
      <c r="A557" s="1"/>
      <c r="B557" s="1"/>
      <c r="C557" s="1"/>
      <c r="D557" s="1"/>
      <c r="E557" s="1"/>
      <c r="F557" s="1"/>
      <c r="G557" s="1"/>
      <c r="H557" s="1"/>
      <c r="I557" s="1"/>
      <c r="J557" s="1"/>
      <c r="K557" s="1"/>
      <c r="L557" s="1"/>
      <c r="M557" s="1"/>
    </row>
    <row r="558" ht="15.75" customHeight="1" spans="1:13" x14ac:dyDescent="0.25">
      <c r="A558" s="1"/>
      <c r="B558" s="1"/>
      <c r="C558" s="1"/>
      <c r="D558" s="1"/>
      <c r="E558" s="1"/>
      <c r="F558" s="1"/>
      <c r="G558" s="1"/>
      <c r="H558" s="1"/>
      <c r="I558" s="1"/>
      <c r="J558" s="1"/>
      <c r="K558" s="1"/>
      <c r="L558" s="1"/>
      <c r="M558" s="1"/>
    </row>
    <row r="559" ht="15.75" customHeight="1" spans="1:13" x14ac:dyDescent="0.25">
      <c r="A559" s="1"/>
      <c r="B559" s="1"/>
      <c r="C559" s="1"/>
      <c r="D559" s="1"/>
      <c r="E559" s="1"/>
      <c r="F559" s="1"/>
      <c r="G559" s="1"/>
      <c r="H559" s="1"/>
      <c r="I559" s="1"/>
      <c r="J559" s="1"/>
      <c r="K559" s="1"/>
      <c r="L559" s="1"/>
      <c r="M559" s="1"/>
    </row>
    <row r="560" ht="15.75" customHeight="1" spans="1:13" x14ac:dyDescent="0.25">
      <c r="A560" s="1"/>
      <c r="B560" s="1"/>
      <c r="C560" s="1"/>
      <c r="D560" s="1"/>
      <c r="E560" s="1"/>
      <c r="F560" s="1"/>
      <c r="G560" s="1"/>
      <c r="H560" s="1"/>
      <c r="I560" s="1"/>
      <c r="J560" s="1"/>
      <c r="K560" s="1"/>
      <c r="L560" s="1"/>
      <c r="M560" s="1"/>
    </row>
    <row r="561" ht="15.75" customHeight="1" spans="1:13" x14ac:dyDescent="0.25">
      <c r="A561" s="1"/>
      <c r="B561" s="1"/>
      <c r="C561" s="1"/>
      <c r="D561" s="1"/>
      <c r="E561" s="1"/>
      <c r="F561" s="1"/>
      <c r="G561" s="1"/>
      <c r="H561" s="1"/>
      <c r="I561" s="1"/>
      <c r="J561" s="1"/>
      <c r="K561" s="1"/>
      <c r="L561" s="1"/>
      <c r="M561" s="1"/>
    </row>
    <row r="562" ht="15.75" customHeight="1" spans="1:13" x14ac:dyDescent="0.25">
      <c r="A562" s="1"/>
      <c r="B562" s="1"/>
      <c r="C562" s="1"/>
      <c r="D562" s="1"/>
      <c r="E562" s="1"/>
      <c r="F562" s="1"/>
      <c r="G562" s="1"/>
      <c r="H562" s="1"/>
      <c r="I562" s="1"/>
      <c r="J562" s="1"/>
      <c r="K562" s="1"/>
      <c r="L562" s="1"/>
      <c r="M562" s="1"/>
    </row>
    <row r="563" ht="15.75" customHeight="1" spans="1:13" x14ac:dyDescent="0.25">
      <c r="A563" s="1"/>
      <c r="B563" s="1"/>
      <c r="C563" s="1"/>
      <c r="D563" s="1"/>
      <c r="E563" s="1"/>
      <c r="F563" s="1"/>
      <c r="G563" s="1"/>
      <c r="H563" s="1"/>
      <c r="I563" s="1"/>
      <c r="J563" s="1"/>
      <c r="K563" s="1"/>
      <c r="L563" s="1"/>
      <c r="M563" s="1"/>
    </row>
    <row r="564" ht="15.75" customHeight="1" spans="1:13" x14ac:dyDescent="0.25">
      <c r="A564" s="1"/>
      <c r="B564" s="1"/>
      <c r="C564" s="1"/>
      <c r="D564" s="1"/>
      <c r="E564" s="1"/>
      <c r="F564" s="1"/>
      <c r="G564" s="1"/>
      <c r="H564" s="1"/>
      <c r="I564" s="1"/>
      <c r="J564" s="1"/>
      <c r="K564" s="1"/>
      <c r="L564" s="1"/>
      <c r="M564" s="1"/>
    </row>
    <row r="565" ht="15.75" customHeight="1" spans="1:13" x14ac:dyDescent="0.25">
      <c r="A565" s="1"/>
      <c r="B565" s="1"/>
      <c r="C565" s="1"/>
      <c r="D565" s="1"/>
      <c r="E565" s="1"/>
      <c r="F565" s="1"/>
      <c r="G565" s="1"/>
      <c r="H565" s="1"/>
      <c r="I565" s="1"/>
      <c r="J565" s="1"/>
      <c r="K565" s="1"/>
      <c r="L565" s="1"/>
      <c r="M565" s="1"/>
    </row>
    <row r="566" ht="15.75" customHeight="1" spans="1:13" x14ac:dyDescent="0.25">
      <c r="A566" s="1"/>
      <c r="B566" s="1"/>
      <c r="C566" s="1"/>
      <c r="D566" s="1"/>
      <c r="E566" s="1"/>
      <c r="F566" s="1"/>
      <c r="G566" s="1"/>
      <c r="H566" s="1"/>
      <c r="I566" s="1"/>
      <c r="J566" s="1"/>
      <c r="K566" s="1"/>
      <c r="L566" s="1"/>
      <c r="M566" s="1"/>
    </row>
    <row r="567" ht="15.75" customHeight="1" spans="1:13" x14ac:dyDescent="0.25">
      <c r="A567" s="1"/>
      <c r="B567" s="1"/>
      <c r="C567" s="1"/>
      <c r="D567" s="1"/>
      <c r="E567" s="1"/>
      <c r="F567" s="1"/>
      <c r="G567" s="1"/>
      <c r="H567" s="1"/>
      <c r="I567" s="1"/>
      <c r="J567" s="1"/>
      <c r="K567" s="1"/>
      <c r="L567" s="1"/>
      <c r="M567" s="1"/>
    </row>
    <row r="568" ht="15.75" customHeight="1" spans="1:13" x14ac:dyDescent="0.25">
      <c r="A568" s="1"/>
      <c r="B568" s="1"/>
      <c r="C568" s="1"/>
      <c r="D568" s="1"/>
      <c r="E568" s="1"/>
      <c r="F568" s="1"/>
      <c r="G568" s="1"/>
      <c r="H568" s="1"/>
      <c r="I568" s="1"/>
      <c r="J568" s="1"/>
      <c r="K568" s="1"/>
      <c r="L568" s="1"/>
      <c r="M568" s="1"/>
    </row>
    <row r="569" ht="15.75" customHeight="1" spans="1:13" x14ac:dyDescent="0.25">
      <c r="A569" s="1"/>
      <c r="B569" s="1"/>
      <c r="C569" s="1"/>
      <c r="D569" s="1"/>
      <c r="E569" s="1"/>
      <c r="F569" s="1"/>
      <c r="G569" s="1"/>
      <c r="H569" s="1"/>
      <c r="I569" s="1"/>
      <c r="J569" s="1"/>
      <c r="K569" s="1"/>
      <c r="L569" s="1"/>
      <c r="M569" s="1"/>
    </row>
    <row r="570" ht="15.75" customHeight="1" spans="1:13" x14ac:dyDescent="0.25">
      <c r="A570" s="1"/>
      <c r="B570" s="1"/>
      <c r="C570" s="1"/>
      <c r="D570" s="1"/>
      <c r="E570" s="1"/>
      <c r="F570" s="1"/>
      <c r="G570" s="1"/>
      <c r="H570" s="1"/>
      <c r="I570" s="1"/>
      <c r="J570" s="1"/>
      <c r="K570" s="1"/>
      <c r="L570" s="1"/>
      <c r="M570" s="1"/>
    </row>
    <row r="571" ht="15.75" customHeight="1" spans="1:13" x14ac:dyDescent="0.25">
      <c r="A571" s="1"/>
      <c r="B571" s="1"/>
      <c r="C571" s="1"/>
      <c r="D571" s="1"/>
      <c r="E571" s="1"/>
      <c r="F571" s="1"/>
      <c r="G571" s="1"/>
      <c r="H571" s="1"/>
      <c r="I571" s="1"/>
      <c r="J571" s="1"/>
      <c r="K571" s="1"/>
      <c r="L571" s="1"/>
      <c r="M571" s="1"/>
    </row>
    <row r="572" ht="15.75" customHeight="1" spans="1:13" x14ac:dyDescent="0.25">
      <c r="A572" s="1"/>
      <c r="B572" s="1"/>
      <c r="C572" s="1"/>
      <c r="D572" s="1"/>
      <c r="E572" s="1"/>
      <c r="F572" s="1"/>
      <c r="G572" s="1"/>
      <c r="H572" s="1"/>
      <c r="I572" s="1"/>
      <c r="J572" s="1"/>
      <c r="K572" s="1"/>
      <c r="L572" s="1"/>
      <c r="M572" s="1"/>
    </row>
    <row r="573" ht="15.75" customHeight="1" spans="1:13" x14ac:dyDescent="0.25">
      <c r="A573" s="1"/>
      <c r="B573" s="1"/>
      <c r="C573" s="1"/>
      <c r="D573" s="1"/>
      <c r="E573" s="1"/>
      <c r="F573" s="1"/>
      <c r="G573" s="1"/>
      <c r="H573" s="1"/>
      <c r="I573" s="1"/>
      <c r="J573" s="1"/>
      <c r="K573" s="1"/>
      <c r="L573" s="1"/>
      <c r="M573" s="1"/>
    </row>
    <row r="574" ht="15.75" customHeight="1" spans="1:13" x14ac:dyDescent="0.25">
      <c r="A574" s="1"/>
      <c r="B574" s="1"/>
      <c r="C574" s="1"/>
      <c r="D574" s="1"/>
      <c r="E574" s="1"/>
      <c r="F574" s="1"/>
      <c r="G574" s="1"/>
      <c r="H574" s="1"/>
      <c r="I574" s="1"/>
      <c r="J574" s="1"/>
      <c r="K574" s="1"/>
      <c r="L574" s="1"/>
      <c r="M574" s="1"/>
    </row>
    <row r="575" ht="15.75" customHeight="1" spans="1:13" x14ac:dyDescent="0.25">
      <c r="A575" s="1"/>
      <c r="B575" s="1"/>
      <c r="C575" s="1"/>
      <c r="D575" s="1"/>
      <c r="E575" s="1"/>
      <c r="F575" s="1"/>
      <c r="G575" s="1"/>
      <c r="H575" s="1"/>
      <c r="I575" s="1"/>
      <c r="J575" s="1"/>
      <c r="K575" s="1"/>
      <c r="L575" s="1"/>
      <c r="M575" s="1"/>
    </row>
    <row r="576" ht="15.75" customHeight="1" spans="1:13" x14ac:dyDescent="0.25">
      <c r="A576" s="1"/>
      <c r="B576" s="1"/>
      <c r="C576" s="1"/>
      <c r="D576" s="1"/>
      <c r="E576" s="1"/>
      <c r="F576" s="1"/>
      <c r="G576" s="1"/>
      <c r="H576" s="1"/>
      <c r="I576" s="1"/>
      <c r="J576" s="1"/>
      <c r="K576" s="1"/>
      <c r="L576" s="1"/>
      <c r="M576" s="1"/>
    </row>
    <row r="577" ht="15.75" customHeight="1" spans="1:13" x14ac:dyDescent="0.25">
      <c r="A577" s="1"/>
      <c r="B577" s="1"/>
      <c r="C577" s="1"/>
      <c r="D577" s="1"/>
      <c r="E577" s="1"/>
      <c r="F577" s="1"/>
      <c r="G577" s="1"/>
      <c r="H577" s="1"/>
      <c r="I577" s="1"/>
      <c r="J577" s="1"/>
      <c r="K577" s="1"/>
      <c r="L577" s="1"/>
      <c r="M577" s="1"/>
    </row>
    <row r="578" ht="15.75" customHeight="1" spans="1:13" x14ac:dyDescent="0.25">
      <c r="A578" s="1"/>
      <c r="B578" s="1"/>
      <c r="C578" s="1"/>
      <c r="D578" s="1"/>
      <c r="E578" s="1"/>
      <c r="F578" s="1"/>
      <c r="G578" s="1"/>
      <c r="H578" s="1"/>
      <c r="I578" s="1"/>
      <c r="J578" s="1"/>
      <c r="K578" s="1"/>
      <c r="L578" s="1"/>
      <c r="M578" s="1"/>
    </row>
    <row r="579" ht="15.75" customHeight="1" spans="1:13" x14ac:dyDescent="0.25">
      <c r="A579" s="1"/>
      <c r="B579" s="1"/>
      <c r="C579" s="1"/>
      <c r="D579" s="1"/>
      <c r="E579" s="1"/>
      <c r="F579" s="1"/>
      <c r="G579" s="1"/>
      <c r="H579" s="1"/>
      <c r="I579" s="1"/>
      <c r="J579" s="1"/>
      <c r="K579" s="1"/>
      <c r="L579" s="1"/>
      <c r="M579" s="1"/>
    </row>
    <row r="580" ht="15.75" customHeight="1" spans="1:13" x14ac:dyDescent="0.25">
      <c r="A580" s="1"/>
      <c r="B580" s="1"/>
      <c r="C580" s="1"/>
      <c r="D580" s="1"/>
      <c r="E580" s="1"/>
      <c r="F580" s="1"/>
      <c r="G580" s="1"/>
      <c r="H580" s="1"/>
      <c r="I580" s="1"/>
      <c r="J580" s="1"/>
      <c r="K580" s="1"/>
      <c r="L580" s="1"/>
      <c r="M580" s="1"/>
    </row>
    <row r="581" ht="15.75" customHeight="1" spans="1:13" x14ac:dyDescent="0.25">
      <c r="A581" s="1"/>
      <c r="B581" s="1"/>
      <c r="C581" s="1"/>
      <c r="D581" s="1"/>
      <c r="E581" s="1"/>
      <c r="F581" s="1"/>
      <c r="G581" s="1"/>
      <c r="H581" s="1"/>
      <c r="I581" s="1"/>
      <c r="J581" s="1"/>
      <c r="K581" s="1"/>
      <c r="L581" s="1"/>
      <c r="M581" s="1"/>
    </row>
    <row r="582" ht="15.75" customHeight="1" spans="1:13" x14ac:dyDescent="0.25">
      <c r="A582" s="1"/>
      <c r="B582" s="1"/>
      <c r="C582" s="1"/>
      <c r="D582" s="1"/>
      <c r="E582" s="1"/>
      <c r="F582" s="1"/>
      <c r="G582" s="1"/>
      <c r="H582" s="1"/>
      <c r="I582" s="1"/>
      <c r="J582" s="1"/>
      <c r="K582" s="1"/>
      <c r="L582" s="1"/>
      <c r="M582" s="1"/>
    </row>
    <row r="583" ht="15.75" customHeight="1" spans="1:13" x14ac:dyDescent="0.25">
      <c r="A583" s="1"/>
      <c r="B583" s="1"/>
      <c r="C583" s="1"/>
      <c r="D583" s="1"/>
      <c r="E583" s="1"/>
      <c r="F583" s="1"/>
      <c r="G583" s="1"/>
      <c r="H583" s="1"/>
      <c r="I583" s="1"/>
      <c r="J583" s="1"/>
      <c r="K583" s="1"/>
      <c r="L583" s="1"/>
      <c r="M583" s="1"/>
    </row>
    <row r="584" ht="15.75" customHeight="1" spans="1:13" x14ac:dyDescent="0.25">
      <c r="A584" s="1"/>
      <c r="B584" s="1"/>
      <c r="C584" s="1"/>
      <c r="D584" s="1"/>
      <c r="E584" s="1"/>
      <c r="F584" s="1"/>
      <c r="G584" s="1"/>
      <c r="H584" s="1"/>
      <c r="I584" s="1"/>
      <c r="J584" s="1"/>
      <c r="K584" s="1"/>
      <c r="L584" s="1"/>
      <c r="M584" s="1"/>
    </row>
    <row r="585" ht="15.75" customHeight="1" spans="1:13" x14ac:dyDescent="0.25">
      <c r="A585" s="1"/>
      <c r="B585" s="1"/>
      <c r="C585" s="1"/>
      <c r="D585" s="1"/>
      <c r="E585" s="1"/>
      <c r="F585" s="1"/>
      <c r="G585" s="1"/>
      <c r="H585" s="1"/>
      <c r="I585" s="1"/>
      <c r="J585" s="1"/>
      <c r="K585" s="1"/>
      <c r="L585" s="1"/>
      <c r="M585" s="1"/>
    </row>
    <row r="586" ht="15.75" customHeight="1" spans="1:13" x14ac:dyDescent="0.25">
      <c r="A586" s="1"/>
      <c r="B586" s="1"/>
      <c r="C586" s="1"/>
      <c r="D586" s="1"/>
      <c r="E586" s="1"/>
      <c r="F586" s="1"/>
      <c r="G586" s="1"/>
      <c r="H586" s="1"/>
      <c r="I586" s="1"/>
      <c r="J586" s="1"/>
      <c r="K586" s="1"/>
      <c r="L586" s="1"/>
      <c r="M586" s="1"/>
    </row>
    <row r="587" ht="15.75" customHeight="1" spans="1:13" x14ac:dyDescent="0.25">
      <c r="A587" s="1"/>
      <c r="B587" s="1"/>
      <c r="C587" s="1"/>
      <c r="D587" s="1"/>
      <c r="E587" s="1"/>
      <c r="F587" s="1"/>
      <c r="G587" s="1"/>
      <c r="H587" s="1"/>
      <c r="I587" s="1"/>
      <c r="J587" s="1"/>
      <c r="K587" s="1"/>
      <c r="L587" s="1"/>
      <c r="M587" s="1"/>
    </row>
    <row r="588" ht="15.75" customHeight="1" spans="1:13" x14ac:dyDescent="0.25">
      <c r="A588" s="1"/>
      <c r="B588" s="1"/>
      <c r="C588" s="1"/>
      <c r="D588" s="1"/>
      <c r="E588" s="1"/>
      <c r="F588" s="1"/>
      <c r="G588" s="1"/>
      <c r="H588" s="1"/>
      <c r="I588" s="1"/>
      <c r="J588" s="1"/>
      <c r="K588" s="1"/>
      <c r="L588" s="1"/>
      <c r="M588" s="1"/>
    </row>
    <row r="589" ht="15.75" customHeight="1" spans="1:13" x14ac:dyDescent="0.25">
      <c r="A589" s="1"/>
      <c r="B589" s="1"/>
      <c r="C589" s="1"/>
      <c r="D589" s="1"/>
      <c r="E589" s="1"/>
      <c r="F589" s="1"/>
      <c r="G589" s="1"/>
      <c r="H589" s="1"/>
      <c r="I589" s="1"/>
      <c r="J589" s="1"/>
      <c r="K589" s="1"/>
      <c r="L589" s="1"/>
      <c r="M589" s="1"/>
    </row>
    <row r="590" ht="15.75" customHeight="1" spans="1:13" x14ac:dyDescent="0.25">
      <c r="A590" s="1"/>
      <c r="B590" s="1"/>
      <c r="C590" s="1"/>
      <c r="D590" s="1"/>
      <c r="E590" s="1"/>
      <c r="F590" s="1"/>
      <c r="G590" s="1"/>
      <c r="H590" s="1"/>
      <c r="I590" s="1"/>
      <c r="J590" s="1"/>
      <c r="K590" s="1"/>
      <c r="L590" s="1"/>
      <c r="M590" s="1"/>
    </row>
    <row r="591" ht="15.75" customHeight="1" spans="1:13" x14ac:dyDescent="0.25">
      <c r="A591" s="1"/>
      <c r="B591" s="1"/>
      <c r="C591" s="1"/>
      <c r="D591" s="1"/>
      <c r="E591" s="1"/>
      <c r="F591" s="1"/>
      <c r="G591" s="1"/>
      <c r="H591" s="1"/>
      <c r="I591" s="1"/>
      <c r="J591" s="1"/>
      <c r="K591" s="1"/>
      <c r="L591" s="1"/>
      <c r="M591" s="1"/>
    </row>
    <row r="592" ht="15.75" customHeight="1" spans="1:13" x14ac:dyDescent="0.25">
      <c r="A592" s="1"/>
      <c r="B592" s="1"/>
      <c r="C592" s="1"/>
      <c r="D592" s="1"/>
      <c r="E592" s="1"/>
      <c r="F592" s="1"/>
      <c r="G592" s="1"/>
      <c r="H592" s="1"/>
      <c r="I592" s="1"/>
      <c r="J592" s="1"/>
      <c r="K592" s="1"/>
      <c r="L592" s="1"/>
      <c r="M592" s="1"/>
    </row>
    <row r="593" ht="15.75" customHeight="1" spans="1:13" x14ac:dyDescent="0.25">
      <c r="A593" s="1"/>
      <c r="B593" s="1"/>
      <c r="C593" s="1"/>
      <c r="D593" s="1"/>
      <c r="E593" s="1"/>
      <c r="F593" s="1"/>
      <c r="G593" s="1"/>
      <c r="H593" s="1"/>
      <c r="I593" s="1"/>
      <c r="J593" s="1"/>
      <c r="K593" s="1"/>
      <c r="L593" s="1"/>
      <c r="M593" s="1"/>
    </row>
    <row r="594" ht="15.75" customHeight="1" spans="1:13" x14ac:dyDescent="0.25">
      <c r="A594" s="1"/>
      <c r="B594" s="1"/>
      <c r="C594" s="1"/>
      <c r="D594" s="1"/>
      <c r="E594" s="1"/>
      <c r="F594" s="1"/>
      <c r="G594" s="1"/>
      <c r="H594" s="1"/>
      <c r="I594" s="1"/>
      <c r="J594" s="1"/>
      <c r="K594" s="1"/>
      <c r="L594" s="1"/>
      <c r="M594" s="1"/>
    </row>
    <row r="595" ht="15.75" customHeight="1" spans="1:13" x14ac:dyDescent="0.25">
      <c r="A595" s="1"/>
      <c r="B595" s="1"/>
      <c r="C595" s="1"/>
      <c r="D595" s="1"/>
      <c r="E595" s="1"/>
      <c r="F595" s="1"/>
      <c r="G595" s="1"/>
      <c r="H595" s="1"/>
      <c r="I595" s="1"/>
      <c r="J595" s="1"/>
      <c r="K595" s="1"/>
      <c r="L595" s="1"/>
      <c r="M595" s="1"/>
    </row>
    <row r="596" ht="15.75" customHeight="1" spans="1:13" x14ac:dyDescent="0.25">
      <c r="A596" s="1"/>
      <c r="B596" s="1"/>
      <c r="C596" s="1"/>
      <c r="D596" s="1"/>
      <c r="E596" s="1"/>
      <c r="F596" s="1"/>
      <c r="G596" s="1"/>
      <c r="H596" s="1"/>
      <c r="I596" s="1"/>
      <c r="J596" s="1"/>
      <c r="K596" s="1"/>
      <c r="L596" s="1"/>
      <c r="M596" s="1"/>
    </row>
    <row r="597" ht="15.75" customHeight="1" spans="1:13" x14ac:dyDescent="0.25">
      <c r="A597" s="1"/>
      <c r="B597" s="1"/>
      <c r="C597" s="1"/>
      <c r="D597" s="1"/>
      <c r="E597" s="1"/>
      <c r="F597" s="1"/>
      <c r="G597" s="1"/>
      <c r="H597" s="1"/>
      <c r="I597" s="1"/>
      <c r="J597" s="1"/>
      <c r="K597" s="1"/>
      <c r="L597" s="1"/>
      <c r="M597" s="1"/>
    </row>
    <row r="598" ht="15.75" customHeight="1" spans="1:13" x14ac:dyDescent="0.25">
      <c r="A598" s="1"/>
      <c r="B598" s="1"/>
      <c r="C598" s="1"/>
      <c r="D598" s="1"/>
      <c r="E598" s="1"/>
      <c r="F598" s="1"/>
      <c r="G598" s="1"/>
      <c r="H598" s="1"/>
      <c r="I598" s="1"/>
      <c r="J598" s="1"/>
      <c r="K598" s="1"/>
      <c r="L598" s="1"/>
      <c r="M598" s="1"/>
    </row>
    <row r="599" ht="15.75" customHeight="1" spans="1:13" x14ac:dyDescent="0.25">
      <c r="A599" s="1"/>
      <c r="B599" s="1"/>
      <c r="C599" s="1"/>
      <c r="D599" s="1"/>
      <c r="E599" s="1"/>
      <c r="F599" s="1"/>
      <c r="G599" s="1"/>
      <c r="H599" s="1"/>
      <c r="I599" s="1"/>
      <c r="J599" s="1"/>
      <c r="K599" s="1"/>
      <c r="L599" s="1"/>
      <c r="M599" s="1"/>
    </row>
    <row r="600" ht="15.75" customHeight="1" spans="1:13" x14ac:dyDescent="0.25">
      <c r="A600" s="1"/>
      <c r="B600" s="1"/>
      <c r="C600" s="1"/>
      <c r="D600" s="1"/>
      <c r="E600" s="1"/>
      <c r="F600" s="1"/>
      <c r="G600" s="1"/>
      <c r="H600" s="1"/>
      <c r="I600" s="1"/>
      <c r="J600" s="1"/>
      <c r="K600" s="1"/>
      <c r="L600" s="1"/>
      <c r="M600" s="1"/>
    </row>
    <row r="601" ht="15.75" customHeight="1" spans="1:13" x14ac:dyDescent="0.25">
      <c r="A601" s="1"/>
      <c r="B601" s="1"/>
      <c r="C601" s="1"/>
      <c r="D601" s="1"/>
      <c r="E601" s="1"/>
      <c r="F601" s="1"/>
      <c r="G601" s="1"/>
      <c r="H601" s="1"/>
      <c r="I601" s="1"/>
      <c r="J601" s="1"/>
      <c r="K601" s="1"/>
      <c r="L601" s="1"/>
      <c r="M601" s="1"/>
    </row>
    <row r="602" ht="15.75" customHeight="1" spans="1:13" x14ac:dyDescent="0.25">
      <c r="A602" s="1"/>
      <c r="B602" s="1"/>
      <c r="C602" s="1"/>
      <c r="D602" s="1"/>
      <c r="E602" s="1"/>
      <c r="F602" s="1"/>
      <c r="G602" s="1"/>
      <c r="H602" s="1"/>
      <c r="I602" s="1"/>
      <c r="J602" s="1"/>
      <c r="K602" s="1"/>
      <c r="L602" s="1"/>
      <c r="M602" s="1"/>
    </row>
    <row r="603" ht="15.75" customHeight="1" spans="1:13" x14ac:dyDescent="0.25">
      <c r="A603" s="1"/>
      <c r="B603" s="1"/>
      <c r="C603" s="1"/>
      <c r="D603" s="1"/>
      <c r="E603" s="1"/>
      <c r="F603" s="1"/>
      <c r="G603" s="1"/>
      <c r="H603" s="1"/>
      <c r="I603" s="1"/>
      <c r="J603" s="1"/>
      <c r="K603" s="1"/>
      <c r="L603" s="1"/>
      <c r="M603" s="1"/>
    </row>
    <row r="604" ht="15.75" customHeight="1" spans="1:13" x14ac:dyDescent="0.25">
      <c r="A604" s="1"/>
      <c r="B604" s="1"/>
      <c r="C604" s="1"/>
      <c r="D604" s="1"/>
      <c r="E604" s="1"/>
      <c r="F604" s="1"/>
      <c r="G604" s="1"/>
      <c r="H604" s="1"/>
      <c r="I604" s="1"/>
      <c r="J604" s="1"/>
      <c r="K604" s="1"/>
      <c r="L604" s="1"/>
      <c r="M604" s="1"/>
    </row>
    <row r="605" ht="15.75" customHeight="1" spans="1:13" x14ac:dyDescent="0.25">
      <c r="A605" s="1"/>
      <c r="B605" s="1"/>
      <c r="C605" s="1"/>
      <c r="D605" s="1"/>
      <c r="E605" s="1"/>
      <c r="F605" s="1"/>
      <c r="G605" s="1"/>
      <c r="H605" s="1"/>
      <c r="I605" s="1"/>
      <c r="J605" s="1"/>
      <c r="K605" s="1"/>
      <c r="L605" s="1"/>
      <c r="M605" s="1"/>
    </row>
    <row r="606" ht="15.75" customHeight="1" spans="1:13" x14ac:dyDescent="0.25">
      <c r="A606" s="1"/>
      <c r="B606" s="1"/>
      <c r="C606" s="1"/>
      <c r="D606" s="1"/>
      <c r="E606" s="1"/>
      <c r="F606" s="1"/>
      <c r="G606" s="1"/>
      <c r="H606" s="1"/>
      <c r="I606" s="1"/>
      <c r="J606" s="1"/>
      <c r="K606" s="1"/>
      <c r="L606" s="1"/>
      <c r="M606" s="1"/>
    </row>
    <row r="607" ht="15.75" customHeight="1" spans="1:13" x14ac:dyDescent="0.25">
      <c r="A607" s="1"/>
      <c r="B607" s="1"/>
      <c r="C607" s="1"/>
      <c r="D607" s="1"/>
      <c r="E607" s="1"/>
      <c r="F607" s="1"/>
      <c r="G607" s="1"/>
      <c r="H607" s="1"/>
      <c r="I607" s="1"/>
      <c r="J607" s="1"/>
      <c r="K607" s="1"/>
      <c r="L607" s="1"/>
      <c r="M607" s="1"/>
    </row>
    <row r="608" ht="15.75" customHeight="1" spans="1:13" x14ac:dyDescent="0.25">
      <c r="A608" s="1"/>
      <c r="B608" s="1"/>
      <c r="C608" s="1"/>
      <c r="D608" s="1"/>
      <c r="E608" s="1"/>
      <c r="F608" s="1"/>
      <c r="G608" s="1"/>
      <c r="H608" s="1"/>
      <c r="I608" s="1"/>
      <c r="J608" s="1"/>
      <c r="K608" s="1"/>
      <c r="L608" s="1"/>
      <c r="M608" s="1"/>
    </row>
    <row r="609" ht="15.75" customHeight="1" spans="1:13" x14ac:dyDescent="0.25">
      <c r="A609" s="1"/>
      <c r="B609" s="1"/>
      <c r="C609" s="1"/>
      <c r="D609" s="1"/>
      <c r="E609" s="1"/>
      <c r="F609" s="1"/>
      <c r="G609" s="1"/>
      <c r="H609" s="1"/>
      <c r="I609" s="1"/>
      <c r="J609" s="1"/>
      <c r="K609" s="1"/>
      <c r="L609" s="1"/>
      <c r="M609" s="1"/>
    </row>
    <row r="610" ht="15.75" customHeight="1" spans="1:13" x14ac:dyDescent="0.25">
      <c r="A610" s="1"/>
      <c r="B610" s="1"/>
      <c r="C610" s="1"/>
      <c r="D610" s="1"/>
      <c r="E610" s="1"/>
      <c r="F610" s="1"/>
      <c r="G610" s="1"/>
      <c r="H610" s="1"/>
      <c r="I610" s="1"/>
      <c r="J610" s="1"/>
      <c r="K610" s="1"/>
      <c r="L610" s="1"/>
      <c r="M610" s="1"/>
    </row>
    <row r="611" ht="15.75" customHeight="1" spans="1:13" x14ac:dyDescent="0.25">
      <c r="A611" s="1"/>
      <c r="B611" s="1"/>
      <c r="C611" s="1"/>
      <c r="D611" s="1"/>
      <c r="E611" s="1"/>
      <c r="F611" s="1"/>
      <c r="G611" s="1"/>
      <c r="H611" s="1"/>
      <c r="I611" s="1"/>
      <c r="J611" s="1"/>
      <c r="K611" s="1"/>
      <c r="L611" s="1"/>
      <c r="M611" s="1"/>
    </row>
    <row r="612" ht="15.75" customHeight="1" spans="1:13" x14ac:dyDescent="0.25">
      <c r="A612" s="1"/>
      <c r="B612" s="1"/>
      <c r="C612" s="1"/>
      <c r="D612" s="1"/>
      <c r="E612" s="1"/>
      <c r="F612" s="1"/>
      <c r="G612" s="1"/>
      <c r="H612" s="1"/>
      <c r="I612" s="1"/>
      <c r="J612" s="1"/>
      <c r="K612" s="1"/>
      <c r="L612" s="1"/>
      <c r="M612" s="1"/>
    </row>
    <row r="613" ht="15.75" customHeight="1" spans="1:13" x14ac:dyDescent="0.25">
      <c r="A613" s="1"/>
      <c r="B613" s="1"/>
      <c r="C613" s="1"/>
      <c r="D613" s="1"/>
      <c r="E613" s="1"/>
      <c r="F613" s="1"/>
      <c r="G613" s="1"/>
      <c r="H613" s="1"/>
      <c r="I613" s="1"/>
      <c r="J613" s="1"/>
      <c r="K613" s="1"/>
      <c r="L613" s="1"/>
      <c r="M613" s="1"/>
    </row>
    <row r="614" ht="15.75" customHeight="1" spans="1:13" x14ac:dyDescent="0.25">
      <c r="A614" s="1"/>
      <c r="B614" s="1"/>
      <c r="C614" s="1"/>
      <c r="D614" s="1"/>
      <c r="E614" s="1"/>
      <c r="F614" s="1"/>
      <c r="G614" s="1"/>
      <c r="H614" s="1"/>
      <c r="I614" s="1"/>
      <c r="J614" s="1"/>
      <c r="K614" s="1"/>
      <c r="L614" s="1"/>
      <c r="M614" s="1"/>
    </row>
    <row r="615" ht="15.75" customHeight="1" spans="1:13" x14ac:dyDescent="0.25">
      <c r="A615" s="1"/>
      <c r="B615" s="1"/>
      <c r="C615" s="1"/>
      <c r="D615" s="1"/>
      <c r="E615" s="1"/>
      <c r="F615" s="1"/>
      <c r="G615" s="1"/>
      <c r="H615" s="1"/>
      <c r="I615" s="1"/>
      <c r="J615" s="1"/>
      <c r="K615" s="1"/>
      <c r="L615" s="1"/>
      <c r="M615" s="1"/>
    </row>
    <row r="616" ht="15.75" customHeight="1" spans="1:13" x14ac:dyDescent="0.25">
      <c r="A616" s="1"/>
      <c r="B616" s="1"/>
      <c r="C616" s="1"/>
      <c r="D616" s="1"/>
      <c r="E616" s="1"/>
      <c r="F616" s="1"/>
      <c r="G616" s="1"/>
      <c r="H616" s="1"/>
      <c r="I616" s="1"/>
      <c r="J616" s="1"/>
      <c r="K616" s="1"/>
      <c r="L616" s="1"/>
      <c r="M616" s="1"/>
    </row>
    <row r="617" ht="15.75" customHeight="1" spans="1:13" x14ac:dyDescent="0.25">
      <c r="A617" s="1"/>
      <c r="B617" s="1"/>
      <c r="C617" s="1"/>
      <c r="D617" s="1"/>
      <c r="E617" s="1"/>
      <c r="F617" s="1"/>
      <c r="G617" s="1"/>
      <c r="H617" s="1"/>
      <c r="I617" s="1"/>
      <c r="J617" s="1"/>
      <c r="K617" s="1"/>
      <c r="L617" s="1"/>
      <c r="M617" s="1"/>
    </row>
    <row r="618" ht="15.75" customHeight="1" spans="1:13" x14ac:dyDescent="0.25">
      <c r="A618" s="1"/>
      <c r="B618" s="1"/>
      <c r="C618" s="1"/>
      <c r="D618" s="1"/>
      <c r="E618" s="1"/>
      <c r="F618" s="1"/>
      <c r="G618" s="1"/>
      <c r="H618" s="1"/>
      <c r="I618" s="1"/>
      <c r="J618" s="1"/>
      <c r="K618" s="1"/>
      <c r="L618" s="1"/>
      <c r="M618" s="1"/>
    </row>
    <row r="619" ht="15.75" customHeight="1" spans="1:13" x14ac:dyDescent="0.25">
      <c r="A619" s="1"/>
      <c r="B619" s="1"/>
      <c r="C619" s="1"/>
      <c r="D619" s="1"/>
      <c r="E619" s="1"/>
      <c r="F619" s="1"/>
      <c r="G619" s="1"/>
      <c r="H619" s="1"/>
      <c r="I619" s="1"/>
      <c r="J619" s="1"/>
      <c r="K619" s="1"/>
      <c r="L619" s="1"/>
      <c r="M619" s="1"/>
    </row>
    <row r="620" ht="15.75" customHeight="1" spans="1:13" x14ac:dyDescent="0.25">
      <c r="A620" s="1"/>
      <c r="B620" s="1"/>
      <c r="C620" s="1"/>
      <c r="D620" s="1"/>
      <c r="E620" s="1"/>
      <c r="F620" s="1"/>
      <c r="G620" s="1"/>
      <c r="H620" s="1"/>
      <c r="I620" s="1"/>
      <c r="J620" s="1"/>
      <c r="K620" s="1"/>
      <c r="L620" s="1"/>
      <c r="M620" s="1"/>
    </row>
    <row r="621" ht="15.75" customHeight="1" spans="1:13" x14ac:dyDescent="0.25">
      <c r="A621" s="1"/>
      <c r="B621" s="1"/>
      <c r="C621" s="1"/>
      <c r="D621" s="1"/>
      <c r="E621" s="1"/>
      <c r="F621" s="1"/>
      <c r="G621" s="1"/>
      <c r="H621" s="1"/>
      <c r="I621" s="1"/>
      <c r="J621" s="1"/>
      <c r="K621" s="1"/>
      <c r="L621" s="1"/>
      <c r="M621" s="1"/>
    </row>
    <row r="622" ht="15.75" customHeight="1" spans="1:13" x14ac:dyDescent="0.25">
      <c r="A622" s="1"/>
      <c r="B622" s="1"/>
      <c r="C622" s="1"/>
      <c r="D622" s="1"/>
      <c r="E622" s="1"/>
      <c r="F622" s="1"/>
      <c r="G622" s="1"/>
      <c r="H622" s="1"/>
      <c r="I622" s="1"/>
      <c r="J622" s="1"/>
      <c r="K622" s="1"/>
      <c r="L622" s="1"/>
      <c r="M622" s="1"/>
    </row>
    <row r="623" ht="15.75" customHeight="1" spans="1:13" x14ac:dyDescent="0.25">
      <c r="A623" s="1"/>
      <c r="B623" s="1"/>
      <c r="C623" s="1"/>
      <c r="D623" s="1"/>
      <c r="E623" s="1"/>
      <c r="F623" s="1"/>
      <c r="G623" s="1"/>
      <c r="H623" s="1"/>
      <c r="I623" s="1"/>
      <c r="J623" s="1"/>
      <c r="K623" s="1"/>
      <c r="L623" s="1"/>
      <c r="M623" s="1"/>
    </row>
    <row r="624" ht="15.75" customHeight="1" spans="1:13" x14ac:dyDescent="0.25">
      <c r="A624" s="1"/>
      <c r="B624" s="1"/>
      <c r="C624" s="1"/>
      <c r="D624" s="1"/>
      <c r="E624" s="1"/>
      <c r="F624" s="1"/>
      <c r="G624" s="1"/>
      <c r="H624" s="1"/>
      <c r="I624" s="1"/>
      <c r="J624" s="1"/>
      <c r="K624" s="1"/>
      <c r="L624" s="1"/>
      <c r="M624" s="1"/>
    </row>
    <row r="625" ht="15.75" customHeight="1" spans="1:13" x14ac:dyDescent="0.25">
      <c r="A625" s="1"/>
      <c r="B625" s="1"/>
      <c r="C625" s="1"/>
      <c r="D625" s="1"/>
      <c r="E625" s="1"/>
      <c r="F625" s="1"/>
      <c r="G625" s="1"/>
      <c r="H625" s="1"/>
      <c r="I625" s="1"/>
      <c r="J625" s="1"/>
      <c r="K625" s="1"/>
      <c r="L625" s="1"/>
      <c r="M625" s="1"/>
    </row>
    <row r="626" ht="15.75" customHeight="1" spans="1:13" x14ac:dyDescent="0.25">
      <c r="A626" s="1"/>
      <c r="B626" s="1"/>
      <c r="C626" s="1"/>
      <c r="D626" s="1"/>
      <c r="E626" s="1"/>
      <c r="F626" s="1"/>
      <c r="G626" s="1"/>
      <c r="H626" s="1"/>
      <c r="I626" s="1"/>
      <c r="J626" s="1"/>
      <c r="K626" s="1"/>
      <c r="L626" s="1"/>
      <c r="M626" s="1"/>
    </row>
    <row r="627" ht="15.75" customHeight="1" spans="1:13" x14ac:dyDescent="0.25">
      <c r="A627" s="1"/>
      <c r="B627" s="1"/>
      <c r="C627" s="1"/>
      <c r="D627" s="1"/>
      <c r="E627" s="1"/>
      <c r="F627" s="1"/>
      <c r="G627" s="1"/>
      <c r="H627" s="1"/>
      <c r="I627" s="1"/>
      <c r="J627" s="1"/>
      <c r="K627" s="1"/>
      <c r="L627" s="1"/>
      <c r="M627" s="1"/>
    </row>
    <row r="628" ht="15.75" customHeight="1" spans="1:13" x14ac:dyDescent="0.25">
      <c r="A628" s="1"/>
      <c r="B628" s="1"/>
      <c r="C628" s="1"/>
      <c r="D628" s="1"/>
      <c r="E628" s="1"/>
      <c r="F628" s="1"/>
      <c r="G628" s="1"/>
      <c r="H628" s="1"/>
      <c r="I628" s="1"/>
      <c r="J628" s="1"/>
      <c r="K628" s="1"/>
      <c r="L628" s="1"/>
      <c r="M628" s="1"/>
    </row>
    <row r="629" ht="15.75" customHeight="1" spans="1:13" x14ac:dyDescent="0.25">
      <c r="A629" s="1"/>
      <c r="B629" s="1"/>
      <c r="C629" s="1"/>
      <c r="D629" s="1"/>
      <c r="E629" s="1"/>
      <c r="F629" s="1"/>
      <c r="G629" s="1"/>
      <c r="H629" s="1"/>
      <c r="I629" s="1"/>
      <c r="J629" s="1"/>
      <c r="K629" s="1"/>
      <c r="L629" s="1"/>
      <c r="M629" s="1"/>
    </row>
    <row r="630" ht="15.75" customHeight="1" spans="1:13" x14ac:dyDescent="0.25">
      <c r="A630" s="1"/>
      <c r="B630" s="1"/>
      <c r="C630" s="1"/>
      <c r="D630" s="1"/>
      <c r="E630" s="1"/>
      <c r="F630" s="1"/>
      <c r="G630" s="1"/>
      <c r="H630" s="1"/>
      <c r="I630" s="1"/>
      <c r="J630" s="1"/>
      <c r="K630" s="1"/>
      <c r="L630" s="1"/>
      <c r="M630" s="1"/>
    </row>
    <row r="631" ht="15.75" customHeight="1" spans="1:13" x14ac:dyDescent="0.25">
      <c r="A631" s="1"/>
      <c r="B631" s="1"/>
      <c r="C631" s="1"/>
      <c r="D631" s="1"/>
      <c r="E631" s="1"/>
      <c r="F631" s="1"/>
      <c r="G631" s="1"/>
      <c r="H631" s="1"/>
      <c r="I631" s="1"/>
      <c r="J631" s="1"/>
      <c r="K631" s="1"/>
      <c r="L631" s="1"/>
      <c r="M631" s="1"/>
    </row>
    <row r="632" ht="15.75" customHeight="1" spans="1:13" x14ac:dyDescent="0.25">
      <c r="A632" s="1"/>
      <c r="B632" s="1"/>
      <c r="C632" s="1"/>
      <c r="D632" s="1"/>
      <c r="E632" s="1"/>
      <c r="F632" s="1"/>
      <c r="G632" s="1"/>
      <c r="H632" s="1"/>
      <c r="I632" s="1"/>
      <c r="J632" s="1"/>
      <c r="K632" s="1"/>
      <c r="L632" s="1"/>
      <c r="M632" s="1"/>
    </row>
    <row r="633" ht="15.75" customHeight="1" spans="1:13" x14ac:dyDescent="0.25">
      <c r="A633" s="1"/>
      <c r="B633" s="1"/>
      <c r="C633" s="1"/>
      <c r="D633" s="1"/>
      <c r="E633" s="1"/>
      <c r="F633" s="1"/>
      <c r="G633" s="1"/>
      <c r="H633" s="1"/>
      <c r="I633" s="1"/>
      <c r="J633" s="1"/>
      <c r="K633" s="1"/>
      <c r="L633" s="1"/>
      <c r="M633" s="1"/>
    </row>
    <row r="634" ht="15.75" customHeight="1" spans="1:13" x14ac:dyDescent="0.25">
      <c r="A634" s="1"/>
      <c r="B634" s="1"/>
      <c r="C634" s="1"/>
      <c r="D634" s="1"/>
      <c r="E634" s="1"/>
      <c r="F634" s="1"/>
      <c r="G634" s="1"/>
      <c r="H634" s="1"/>
      <c r="I634" s="1"/>
      <c r="J634" s="1"/>
      <c r="K634" s="1"/>
      <c r="L634" s="1"/>
      <c r="M634" s="1"/>
    </row>
    <row r="635" ht="15.75" customHeight="1" spans="1:13" x14ac:dyDescent="0.25">
      <c r="A635" s="1"/>
      <c r="B635" s="1"/>
      <c r="C635" s="1"/>
      <c r="D635" s="1"/>
      <c r="E635" s="1"/>
      <c r="F635" s="1"/>
      <c r="G635" s="1"/>
      <c r="H635" s="1"/>
      <c r="I635" s="1"/>
      <c r="J635" s="1"/>
      <c r="K635" s="1"/>
      <c r="L635" s="1"/>
      <c r="M635" s="1"/>
    </row>
    <row r="636" ht="15.75" customHeight="1" spans="1:13" x14ac:dyDescent="0.25">
      <c r="A636" s="1"/>
      <c r="B636" s="1"/>
      <c r="C636" s="1"/>
      <c r="D636" s="1"/>
      <c r="E636" s="1"/>
      <c r="F636" s="1"/>
      <c r="G636" s="1"/>
      <c r="H636" s="1"/>
      <c r="I636" s="1"/>
      <c r="J636" s="1"/>
      <c r="K636" s="1"/>
      <c r="L636" s="1"/>
      <c r="M636" s="1"/>
    </row>
    <row r="637" ht="15.75" customHeight="1" spans="1:13" x14ac:dyDescent="0.25">
      <c r="A637" s="1"/>
      <c r="B637" s="1"/>
      <c r="C637" s="1"/>
      <c r="D637" s="1"/>
      <c r="E637" s="1"/>
      <c r="F637" s="1"/>
      <c r="G637" s="1"/>
      <c r="H637" s="1"/>
      <c r="I637" s="1"/>
      <c r="J637" s="1"/>
      <c r="K637" s="1"/>
      <c r="L637" s="1"/>
      <c r="M637" s="1"/>
    </row>
    <row r="638" ht="15.75" customHeight="1" spans="1:13" x14ac:dyDescent="0.25">
      <c r="A638" s="1"/>
      <c r="B638" s="1"/>
      <c r="C638" s="1"/>
      <c r="D638" s="1"/>
      <c r="E638" s="1"/>
      <c r="F638" s="1"/>
      <c r="G638" s="1"/>
      <c r="H638" s="1"/>
      <c r="I638" s="1"/>
      <c r="J638" s="1"/>
      <c r="K638" s="1"/>
      <c r="L638" s="1"/>
      <c r="M638" s="1"/>
    </row>
    <row r="639" ht="15.75" customHeight="1" spans="1:13" x14ac:dyDescent="0.25">
      <c r="A639" s="1"/>
      <c r="B639" s="1"/>
      <c r="C639" s="1"/>
      <c r="D639" s="1"/>
      <c r="E639" s="1"/>
      <c r="F639" s="1"/>
      <c r="G639" s="1"/>
      <c r="H639" s="1"/>
      <c r="I639" s="1"/>
      <c r="J639" s="1"/>
      <c r="K639" s="1"/>
      <c r="L639" s="1"/>
      <c r="M639" s="1"/>
    </row>
    <row r="640" ht="15.75" customHeight="1" spans="1:13" x14ac:dyDescent="0.25">
      <c r="A640" s="1"/>
      <c r="B640" s="1"/>
      <c r="C640" s="1"/>
      <c r="D640" s="1"/>
      <c r="E640" s="1"/>
      <c r="F640" s="1"/>
      <c r="G640" s="1"/>
      <c r="H640" s="1"/>
      <c r="I640" s="1"/>
      <c r="J640" s="1"/>
      <c r="K640" s="1"/>
      <c r="L640" s="1"/>
      <c r="M640" s="1"/>
    </row>
    <row r="641" ht="15.75" customHeight="1" spans="1:13" x14ac:dyDescent="0.25">
      <c r="A641" s="1"/>
      <c r="B641" s="1"/>
      <c r="C641" s="1"/>
      <c r="D641" s="1"/>
      <c r="E641" s="1"/>
      <c r="F641" s="1"/>
      <c r="G641" s="1"/>
      <c r="H641" s="1"/>
      <c r="I641" s="1"/>
      <c r="J641" s="1"/>
      <c r="K641" s="1"/>
      <c r="L641" s="1"/>
      <c r="M641" s="1"/>
    </row>
    <row r="642" ht="15.75" customHeight="1" spans="1:13" x14ac:dyDescent="0.25">
      <c r="A642" s="1"/>
      <c r="B642" s="1"/>
      <c r="C642" s="1"/>
      <c r="D642" s="1"/>
      <c r="E642" s="1"/>
      <c r="F642" s="1"/>
      <c r="G642" s="1"/>
      <c r="H642" s="1"/>
      <c r="I642" s="1"/>
      <c r="J642" s="1"/>
      <c r="K642" s="1"/>
      <c r="L642" s="1"/>
      <c r="M642" s="1"/>
    </row>
    <row r="643" ht="15.75" customHeight="1" spans="1:13" x14ac:dyDescent="0.25">
      <c r="A643" s="1"/>
      <c r="B643" s="1"/>
      <c r="C643" s="1"/>
      <c r="D643" s="1"/>
      <c r="E643" s="1"/>
      <c r="F643" s="1"/>
      <c r="G643" s="1"/>
      <c r="H643" s="1"/>
      <c r="I643" s="1"/>
      <c r="J643" s="1"/>
      <c r="K643" s="1"/>
      <c r="L643" s="1"/>
      <c r="M643" s="1"/>
    </row>
    <row r="644" ht="15.75" customHeight="1" spans="1:13" x14ac:dyDescent="0.25">
      <c r="A644" s="1"/>
      <c r="B644" s="1"/>
      <c r="C644" s="1"/>
      <c r="D644" s="1"/>
      <c r="E644" s="1"/>
      <c r="F644" s="1"/>
      <c r="G644" s="1"/>
      <c r="H644" s="1"/>
      <c r="I644" s="1"/>
      <c r="J644" s="1"/>
      <c r="K644" s="1"/>
      <c r="L644" s="1"/>
      <c r="M644" s="1"/>
    </row>
    <row r="645" ht="15.75" customHeight="1" spans="1:13" x14ac:dyDescent="0.25">
      <c r="A645" s="1"/>
      <c r="B645" s="1"/>
      <c r="C645" s="1"/>
      <c r="D645" s="1"/>
      <c r="E645" s="1"/>
      <c r="F645" s="1"/>
      <c r="G645" s="1"/>
      <c r="H645" s="1"/>
      <c r="I645" s="1"/>
      <c r="J645" s="1"/>
      <c r="K645" s="1"/>
      <c r="L645" s="1"/>
      <c r="M645" s="1"/>
    </row>
    <row r="646" ht="15.75" customHeight="1" spans="1:13" x14ac:dyDescent="0.25">
      <c r="A646" s="1"/>
      <c r="B646" s="1"/>
      <c r="C646" s="1"/>
      <c r="D646" s="1"/>
      <c r="E646" s="1"/>
      <c r="F646" s="1"/>
      <c r="G646" s="1"/>
      <c r="H646" s="1"/>
      <c r="I646" s="1"/>
      <c r="J646" s="1"/>
      <c r="K646" s="1"/>
      <c r="L646" s="1"/>
      <c r="M646" s="1"/>
    </row>
    <row r="647" ht="15.75" customHeight="1" spans="1:13" x14ac:dyDescent="0.25">
      <c r="A647" s="1"/>
      <c r="B647" s="1"/>
      <c r="C647" s="1"/>
      <c r="D647" s="1"/>
      <c r="E647" s="1"/>
      <c r="F647" s="1"/>
      <c r="G647" s="1"/>
      <c r="H647" s="1"/>
      <c r="I647" s="1"/>
      <c r="J647" s="1"/>
      <c r="K647" s="1"/>
      <c r="L647" s="1"/>
      <c r="M647" s="1"/>
    </row>
    <row r="648" ht="15.75" customHeight="1" spans="1:13" x14ac:dyDescent="0.25">
      <c r="A648" s="1"/>
      <c r="B648" s="1"/>
      <c r="C648" s="1"/>
      <c r="D648" s="1"/>
      <c r="E648" s="1"/>
      <c r="F648" s="1"/>
      <c r="G648" s="1"/>
      <c r="H648" s="1"/>
      <c r="I648" s="1"/>
      <c r="J648" s="1"/>
      <c r="K648" s="1"/>
      <c r="L648" s="1"/>
      <c r="M648" s="1"/>
    </row>
    <row r="649" ht="15.75" customHeight="1" spans="1:13" x14ac:dyDescent="0.25">
      <c r="A649" s="1"/>
      <c r="B649" s="1"/>
      <c r="C649" s="1"/>
      <c r="D649" s="1"/>
      <c r="E649" s="1"/>
      <c r="F649" s="1"/>
      <c r="G649" s="1"/>
      <c r="H649" s="1"/>
      <c r="I649" s="1"/>
      <c r="J649" s="1"/>
      <c r="K649" s="1"/>
      <c r="L649" s="1"/>
      <c r="M649" s="1"/>
    </row>
    <row r="650" ht="15.75" customHeight="1" spans="1:13" x14ac:dyDescent="0.25">
      <c r="A650" s="1"/>
      <c r="B650" s="1"/>
      <c r="C650" s="1"/>
      <c r="D650" s="1"/>
      <c r="E650" s="1"/>
      <c r="F650" s="1"/>
      <c r="G650" s="1"/>
      <c r="H650" s="1"/>
      <c r="I650" s="1"/>
      <c r="J650" s="1"/>
      <c r="K650" s="1"/>
      <c r="L650" s="1"/>
      <c r="M650" s="1"/>
    </row>
    <row r="651" ht="15.75" customHeight="1" spans="1:13" x14ac:dyDescent="0.25">
      <c r="A651" s="1"/>
      <c r="B651" s="1"/>
      <c r="C651" s="1"/>
      <c r="D651" s="1"/>
      <c r="E651" s="1"/>
      <c r="F651" s="1"/>
      <c r="G651" s="1"/>
      <c r="H651" s="1"/>
      <c r="I651" s="1"/>
      <c r="J651" s="1"/>
      <c r="K651" s="1"/>
      <c r="L651" s="1"/>
      <c r="M651" s="1"/>
    </row>
    <row r="652" ht="15.75" customHeight="1" spans="1:13" x14ac:dyDescent="0.25">
      <c r="A652" s="1"/>
      <c r="B652" s="1"/>
      <c r="C652" s="1"/>
      <c r="D652" s="1"/>
      <c r="E652" s="1"/>
      <c r="F652" s="1"/>
      <c r="G652" s="1"/>
      <c r="H652" s="1"/>
      <c r="I652" s="1"/>
      <c r="J652" s="1"/>
      <c r="K652" s="1"/>
      <c r="L652" s="1"/>
      <c r="M652" s="1"/>
    </row>
    <row r="653" ht="15.75" customHeight="1" spans="1:13" x14ac:dyDescent="0.25">
      <c r="A653" s="1"/>
      <c r="B653" s="1"/>
      <c r="C653" s="1"/>
      <c r="D653" s="1"/>
      <c r="E653" s="1"/>
      <c r="F653" s="1"/>
      <c r="G653" s="1"/>
      <c r="H653" s="1"/>
      <c r="I653" s="1"/>
      <c r="J653" s="1"/>
      <c r="K653" s="1"/>
      <c r="L653" s="1"/>
      <c r="M653" s="1"/>
    </row>
    <row r="654" ht="15.75" customHeight="1" spans="1:13" x14ac:dyDescent="0.25">
      <c r="A654" s="1"/>
      <c r="B654" s="1"/>
      <c r="C654" s="1"/>
      <c r="D654" s="1"/>
      <c r="E654" s="1"/>
      <c r="F654" s="1"/>
      <c r="G654" s="1"/>
      <c r="H654" s="1"/>
      <c r="I654" s="1"/>
      <c r="J654" s="1"/>
      <c r="K654" s="1"/>
      <c r="L654" s="1"/>
      <c r="M654" s="1"/>
    </row>
    <row r="655" ht="15.75" customHeight="1" spans="1:13" x14ac:dyDescent="0.25">
      <c r="A655" s="1"/>
      <c r="B655" s="1"/>
      <c r="C655" s="1"/>
      <c r="D655" s="1"/>
      <c r="E655" s="1"/>
      <c r="F655" s="1"/>
      <c r="G655" s="1"/>
      <c r="H655" s="1"/>
      <c r="I655" s="1"/>
      <c r="J655" s="1"/>
      <c r="K655" s="1"/>
      <c r="L655" s="1"/>
      <c r="M655" s="1"/>
    </row>
    <row r="656" ht="15.75" customHeight="1" spans="1:13" x14ac:dyDescent="0.25">
      <c r="A656" s="1"/>
      <c r="B656" s="1"/>
      <c r="C656" s="1"/>
      <c r="D656" s="1"/>
      <c r="E656" s="1"/>
      <c r="F656" s="1"/>
      <c r="G656" s="1"/>
      <c r="H656" s="1"/>
      <c r="I656" s="1"/>
      <c r="J656" s="1"/>
      <c r="K656" s="1"/>
      <c r="L656" s="1"/>
      <c r="M656" s="1"/>
    </row>
    <row r="657" ht="15.75" customHeight="1" spans="1:13" x14ac:dyDescent="0.25">
      <c r="A657" s="1"/>
      <c r="B657" s="1"/>
      <c r="C657" s="1"/>
      <c r="D657" s="1"/>
      <c r="E657" s="1"/>
      <c r="F657" s="1"/>
      <c r="G657" s="1"/>
      <c r="H657" s="1"/>
      <c r="I657" s="1"/>
      <c r="J657" s="1"/>
      <c r="K657" s="1"/>
      <c r="L657" s="1"/>
      <c r="M657" s="1"/>
    </row>
    <row r="658" ht="15.75" customHeight="1" spans="1:13" x14ac:dyDescent="0.25">
      <c r="A658" s="1"/>
      <c r="B658" s="1"/>
      <c r="C658" s="1"/>
      <c r="D658" s="1"/>
      <c r="E658" s="1"/>
      <c r="F658" s="1"/>
      <c r="G658" s="1"/>
      <c r="H658" s="1"/>
      <c r="I658" s="1"/>
      <c r="J658" s="1"/>
      <c r="K658" s="1"/>
      <c r="L658" s="1"/>
      <c r="M658" s="1"/>
    </row>
    <row r="659" ht="15.75" customHeight="1" spans="1:13" x14ac:dyDescent="0.25">
      <c r="A659" s="1"/>
      <c r="B659" s="1"/>
      <c r="C659" s="1"/>
      <c r="D659" s="1"/>
      <c r="E659" s="1"/>
      <c r="F659" s="1"/>
      <c r="G659" s="1"/>
      <c r="H659" s="1"/>
      <c r="I659" s="1"/>
      <c r="J659" s="1"/>
      <c r="K659" s="1"/>
      <c r="L659" s="1"/>
      <c r="M659" s="1"/>
    </row>
    <row r="660" ht="15.75" customHeight="1" spans="1:13" x14ac:dyDescent="0.25">
      <c r="A660" s="1"/>
      <c r="B660" s="1"/>
      <c r="C660" s="1"/>
      <c r="D660" s="1"/>
      <c r="E660" s="1"/>
      <c r="F660" s="1"/>
      <c r="G660" s="1"/>
      <c r="H660" s="1"/>
      <c r="I660" s="1"/>
      <c r="J660" s="1"/>
      <c r="K660" s="1"/>
      <c r="L660" s="1"/>
      <c r="M660" s="1"/>
    </row>
    <row r="661" ht="15.75" customHeight="1" spans="1:13" x14ac:dyDescent="0.25">
      <c r="A661" s="1"/>
      <c r="B661" s="1"/>
      <c r="C661" s="1"/>
      <c r="D661" s="1"/>
      <c r="E661" s="1"/>
      <c r="F661" s="1"/>
      <c r="G661" s="1"/>
      <c r="H661" s="1"/>
      <c r="I661" s="1"/>
      <c r="J661" s="1"/>
      <c r="K661" s="1"/>
      <c r="L661" s="1"/>
      <c r="M661" s="1"/>
    </row>
    <row r="662" ht="15.75" customHeight="1" spans="1:13" x14ac:dyDescent="0.25">
      <c r="A662" s="1"/>
      <c r="B662" s="1"/>
      <c r="C662" s="1"/>
      <c r="D662" s="1"/>
      <c r="E662" s="1"/>
      <c r="F662" s="1"/>
      <c r="G662" s="1"/>
      <c r="H662" s="1"/>
      <c r="I662" s="1"/>
      <c r="J662" s="1"/>
      <c r="K662" s="1"/>
      <c r="L662" s="1"/>
      <c r="M662" s="1"/>
    </row>
    <row r="663" ht="15.75" customHeight="1" spans="1:13" x14ac:dyDescent="0.25">
      <c r="A663" s="1"/>
      <c r="B663" s="1"/>
      <c r="C663" s="1"/>
      <c r="D663" s="1"/>
      <c r="E663" s="1"/>
      <c r="F663" s="1"/>
      <c r="G663" s="1"/>
      <c r="H663" s="1"/>
      <c r="I663" s="1"/>
      <c r="J663" s="1"/>
      <c r="K663" s="1"/>
      <c r="L663" s="1"/>
      <c r="M663" s="1"/>
    </row>
    <row r="664" ht="15.75" customHeight="1" spans="1:13" x14ac:dyDescent="0.25">
      <c r="A664" s="1"/>
      <c r="B664" s="1"/>
      <c r="C664" s="1"/>
      <c r="D664" s="1"/>
      <c r="E664" s="1"/>
      <c r="F664" s="1"/>
      <c r="G664" s="1"/>
      <c r="H664" s="1"/>
      <c r="I664" s="1"/>
      <c r="J664" s="1"/>
      <c r="K664" s="1"/>
      <c r="L664" s="1"/>
      <c r="M664" s="1"/>
    </row>
    <row r="665" ht="15.75" customHeight="1" spans="1:13" x14ac:dyDescent="0.25">
      <c r="A665" s="1"/>
      <c r="B665" s="1"/>
      <c r="C665" s="1"/>
      <c r="D665" s="1"/>
      <c r="E665" s="1"/>
      <c r="F665" s="1"/>
      <c r="G665" s="1"/>
      <c r="H665" s="1"/>
      <c r="I665" s="1"/>
      <c r="J665" s="1"/>
      <c r="K665" s="1"/>
      <c r="L665" s="1"/>
      <c r="M665" s="1"/>
    </row>
    <row r="666" ht="15.75" customHeight="1" spans="1:13" x14ac:dyDescent="0.25">
      <c r="A666" s="1"/>
      <c r="B666" s="1"/>
      <c r="C666" s="1"/>
      <c r="D666" s="1"/>
      <c r="E666" s="1"/>
      <c r="F666" s="1"/>
      <c r="G666" s="1"/>
      <c r="H666" s="1"/>
      <c r="I666" s="1"/>
      <c r="J666" s="1"/>
      <c r="K666" s="1"/>
      <c r="L666" s="1"/>
      <c r="M666" s="1"/>
    </row>
    <row r="667" ht="15.75" customHeight="1" spans="1:13" x14ac:dyDescent="0.25">
      <c r="A667" s="1"/>
      <c r="B667" s="1"/>
      <c r="C667" s="1"/>
      <c r="D667" s="1"/>
      <c r="E667" s="1"/>
      <c r="F667" s="1"/>
      <c r="G667" s="1"/>
      <c r="H667" s="1"/>
      <c r="I667" s="1"/>
      <c r="J667" s="1"/>
      <c r="K667" s="1"/>
      <c r="L667" s="1"/>
      <c r="M667" s="1"/>
    </row>
    <row r="668" ht="15.75" customHeight="1" spans="1:13" x14ac:dyDescent="0.25">
      <c r="A668" s="1"/>
      <c r="B668" s="1"/>
      <c r="C668" s="1"/>
      <c r="D668" s="1"/>
      <c r="E668" s="1"/>
      <c r="F668" s="1"/>
      <c r="G668" s="1"/>
      <c r="H668" s="1"/>
      <c r="I668" s="1"/>
      <c r="J668" s="1"/>
      <c r="K668" s="1"/>
      <c r="L668" s="1"/>
      <c r="M668" s="1"/>
    </row>
    <row r="669" ht="15.75" customHeight="1" spans="1:13" x14ac:dyDescent="0.25">
      <c r="A669" s="1"/>
      <c r="B669" s="1"/>
      <c r="C669" s="1"/>
      <c r="D669" s="1"/>
      <c r="E669" s="1"/>
      <c r="F669" s="1"/>
      <c r="G669" s="1"/>
      <c r="H669" s="1"/>
      <c r="I669" s="1"/>
      <c r="J669" s="1"/>
      <c r="K669" s="1"/>
      <c r="L669" s="1"/>
      <c r="M669" s="1"/>
    </row>
    <row r="670" ht="15.75" customHeight="1" spans="1:13" x14ac:dyDescent="0.25">
      <c r="A670" s="1"/>
      <c r="B670" s="1"/>
      <c r="C670" s="1"/>
      <c r="D670" s="1"/>
      <c r="E670" s="1"/>
      <c r="F670" s="1"/>
      <c r="G670" s="1"/>
      <c r="H670" s="1"/>
      <c r="I670" s="1"/>
      <c r="J670" s="1"/>
      <c r="K670" s="1"/>
      <c r="L670" s="1"/>
      <c r="M670" s="1"/>
    </row>
    <row r="671" ht="15.75" customHeight="1" spans="1:13" x14ac:dyDescent="0.25">
      <c r="A671" s="1"/>
      <c r="B671" s="1"/>
      <c r="C671" s="1"/>
      <c r="D671" s="1"/>
      <c r="E671" s="1"/>
      <c r="F671" s="1"/>
      <c r="G671" s="1"/>
      <c r="H671" s="1"/>
      <c r="I671" s="1"/>
      <c r="J671" s="1"/>
      <c r="K671" s="1"/>
      <c r="L671" s="1"/>
      <c r="M671" s="1"/>
    </row>
    <row r="672" ht="15.75" customHeight="1" spans="1:13" x14ac:dyDescent="0.25">
      <c r="A672" s="1"/>
      <c r="B672" s="1"/>
      <c r="C672" s="1"/>
      <c r="D672" s="1"/>
      <c r="E672" s="1"/>
      <c r="F672" s="1"/>
      <c r="G672" s="1"/>
      <c r="H672" s="1"/>
      <c r="I672" s="1"/>
      <c r="J672" s="1"/>
      <c r="K672" s="1"/>
      <c r="L672" s="1"/>
      <c r="M672" s="1"/>
    </row>
    <row r="673" ht="15.75" customHeight="1" spans="1:13" x14ac:dyDescent="0.25">
      <c r="A673" s="1"/>
      <c r="B673" s="1"/>
      <c r="C673" s="1"/>
      <c r="D673" s="1"/>
      <c r="E673" s="1"/>
      <c r="F673" s="1"/>
      <c r="G673" s="1"/>
      <c r="H673" s="1"/>
      <c r="I673" s="1"/>
      <c r="J673" s="1"/>
      <c r="K673" s="1"/>
      <c r="L673" s="1"/>
      <c r="M673" s="1"/>
    </row>
    <row r="674" ht="15.75" customHeight="1" spans="1:13" x14ac:dyDescent="0.25">
      <c r="A674" s="1"/>
      <c r="B674" s="1"/>
      <c r="C674" s="1"/>
      <c r="D674" s="1"/>
      <c r="E674" s="1"/>
      <c r="F674" s="1"/>
      <c r="G674" s="1"/>
      <c r="H674" s="1"/>
      <c r="I674" s="1"/>
      <c r="J674" s="1"/>
      <c r="K674" s="1"/>
      <c r="L674" s="1"/>
      <c r="M674" s="1"/>
    </row>
    <row r="675" ht="15.75" customHeight="1" spans="1:13" x14ac:dyDescent="0.25">
      <c r="A675" s="1"/>
      <c r="B675" s="1"/>
      <c r="C675" s="1"/>
      <c r="D675" s="1"/>
      <c r="E675" s="1"/>
      <c r="F675" s="1"/>
      <c r="G675" s="1"/>
      <c r="H675" s="1"/>
      <c r="I675" s="1"/>
      <c r="J675" s="1"/>
      <c r="K675" s="1"/>
      <c r="L675" s="1"/>
      <c r="M675" s="1"/>
    </row>
    <row r="676" ht="15.75" customHeight="1" spans="1:13" x14ac:dyDescent="0.25">
      <c r="A676" s="1"/>
      <c r="B676" s="1"/>
      <c r="C676" s="1"/>
      <c r="D676" s="1"/>
      <c r="E676" s="1"/>
      <c r="F676" s="1"/>
      <c r="G676" s="1"/>
      <c r="H676" s="1"/>
      <c r="I676" s="1"/>
      <c r="J676" s="1"/>
      <c r="K676" s="1"/>
      <c r="L676" s="1"/>
      <c r="M676" s="1"/>
    </row>
    <row r="677" ht="15.75" customHeight="1" spans="1:13" x14ac:dyDescent="0.25">
      <c r="A677" s="1"/>
      <c r="B677" s="1"/>
      <c r="C677" s="1"/>
      <c r="D677" s="1"/>
      <c r="E677" s="1"/>
      <c r="F677" s="1"/>
      <c r="G677" s="1"/>
      <c r="H677" s="1"/>
      <c r="I677" s="1"/>
      <c r="J677" s="1"/>
      <c r="K677" s="1"/>
      <c r="L677" s="1"/>
      <c r="M677" s="1"/>
    </row>
    <row r="678" ht="15.75" customHeight="1" spans="1:13" x14ac:dyDescent="0.25">
      <c r="A678" s="1"/>
      <c r="B678" s="1"/>
      <c r="C678" s="1"/>
      <c r="D678" s="1"/>
      <c r="E678" s="1"/>
      <c r="F678" s="1"/>
      <c r="G678" s="1"/>
      <c r="H678" s="1"/>
      <c r="I678" s="1"/>
      <c r="J678" s="1"/>
      <c r="K678" s="1"/>
      <c r="L678" s="1"/>
      <c r="M678" s="1"/>
    </row>
    <row r="679" ht="15.75" customHeight="1" spans="1:13" x14ac:dyDescent="0.25">
      <c r="A679" s="1"/>
      <c r="B679" s="1"/>
      <c r="C679" s="1"/>
      <c r="D679" s="1"/>
      <c r="E679" s="1"/>
      <c r="F679" s="1"/>
      <c r="G679" s="1"/>
      <c r="H679" s="1"/>
      <c r="I679" s="1"/>
      <c r="J679" s="1"/>
      <c r="K679" s="1"/>
      <c r="L679" s="1"/>
      <c r="M679" s="1"/>
    </row>
    <row r="680" ht="15.75" customHeight="1" spans="1:13" x14ac:dyDescent="0.25">
      <c r="A680" s="1"/>
      <c r="B680" s="1"/>
      <c r="C680" s="1"/>
      <c r="D680" s="1"/>
      <c r="E680" s="1"/>
      <c r="F680" s="1"/>
      <c r="G680" s="1"/>
      <c r="H680" s="1"/>
      <c r="I680" s="1"/>
      <c r="J680" s="1"/>
      <c r="K680" s="1"/>
      <c r="L680" s="1"/>
      <c r="M680" s="1"/>
    </row>
    <row r="681" ht="15.75" customHeight="1" spans="1:13" x14ac:dyDescent="0.25">
      <c r="A681" s="1"/>
      <c r="B681" s="1"/>
      <c r="C681" s="1"/>
      <c r="D681" s="1"/>
      <c r="E681" s="1"/>
      <c r="F681" s="1"/>
      <c r="G681" s="1"/>
      <c r="H681" s="1"/>
      <c r="I681" s="1"/>
      <c r="J681" s="1"/>
      <c r="K681" s="1"/>
      <c r="L681" s="1"/>
      <c r="M681" s="1"/>
    </row>
    <row r="682" ht="15.75" customHeight="1" spans="1:13" x14ac:dyDescent="0.25">
      <c r="A682" s="1"/>
      <c r="B682" s="1"/>
      <c r="C682" s="1"/>
      <c r="D682" s="1"/>
      <c r="E682" s="1"/>
      <c r="F682" s="1"/>
      <c r="G682" s="1"/>
      <c r="H682" s="1"/>
      <c r="I682" s="1"/>
      <c r="J682" s="1"/>
      <c r="K682" s="1"/>
      <c r="L682" s="1"/>
      <c r="M682" s="1"/>
    </row>
    <row r="683" ht="15.75" customHeight="1" spans="1:13" x14ac:dyDescent="0.25">
      <c r="A683" s="1"/>
      <c r="B683" s="1"/>
      <c r="C683" s="1"/>
      <c r="D683" s="1"/>
      <c r="E683" s="1"/>
      <c r="F683" s="1"/>
      <c r="G683" s="1"/>
      <c r="H683" s="1"/>
      <c r="I683" s="1"/>
      <c r="J683" s="1"/>
      <c r="K683" s="1"/>
      <c r="L683" s="1"/>
      <c r="M683" s="1"/>
    </row>
    <row r="684" ht="15.75" customHeight="1" spans="1:13" x14ac:dyDescent="0.25">
      <c r="A684" s="1"/>
      <c r="B684" s="1"/>
      <c r="C684" s="1"/>
      <c r="D684" s="1"/>
      <c r="E684" s="1"/>
      <c r="F684" s="1"/>
      <c r="G684" s="1"/>
      <c r="H684" s="1"/>
      <c r="I684" s="1"/>
      <c r="J684" s="1"/>
      <c r="K684" s="1"/>
      <c r="L684" s="1"/>
      <c r="M684" s="1"/>
    </row>
    <row r="685" ht="15.75" customHeight="1" spans="1:13" x14ac:dyDescent="0.25">
      <c r="A685" s="1"/>
      <c r="B685" s="1"/>
      <c r="C685" s="1"/>
      <c r="D685" s="1"/>
      <c r="E685" s="1"/>
      <c r="F685" s="1"/>
      <c r="G685" s="1"/>
      <c r="H685" s="1"/>
      <c r="I685" s="1"/>
      <c r="J685" s="1"/>
      <c r="K685" s="1"/>
      <c r="L685" s="1"/>
      <c r="M685" s="1"/>
    </row>
    <row r="686" ht="15.75" customHeight="1" spans="1:13" x14ac:dyDescent="0.25">
      <c r="A686" s="1"/>
      <c r="B686" s="1"/>
      <c r="C686" s="1"/>
      <c r="D686" s="1"/>
      <c r="E686" s="1"/>
      <c r="F686" s="1"/>
      <c r="G686" s="1"/>
      <c r="H686" s="1"/>
      <c r="I686" s="1"/>
      <c r="J686" s="1"/>
      <c r="K686" s="1"/>
      <c r="L686" s="1"/>
      <c r="M686" s="1"/>
    </row>
    <row r="687" ht="15.75" customHeight="1" spans="1:13" x14ac:dyDescent="0.25">
      <c r="A687" s="1"/>
      <c r="B687" s="1"/>
      <c r="C687" s="1"/>
      <c r="D687" s="1"/>
      <c r="E687" s="1"/>
      <c r="F687" s="1"/>
      <c r="G687" s="1"/>
      <c r="H687" s="1"/>
      <c r="I687" s="1"/>
      <c r="J687" s="1"/>
      <c r="K687" s="1"/>
      <c r="L687" s="1"/>
      <c r="M687" s="1"/>
    </row>
    <row r="688" ht="15.75" customHeight="1" spans="1:13" x14ac:dyDescent="0.25">
      <c r="A688" s="1"/>
      <c r="B688" s="1"/>
      <c r="C688" s="1"/>
      <c r="D688" s="1"/>
      <c r="E688" s="1"/>
      <c r="F688" s="1"/>
      <c r="G688" s="1"/>
      <c r="H688" s="1"/>
      <c r="I688" s="1"/>
      <c r="J688" s="1"/>
      <c r="K688" s="1"/>
      <c r="L688" s="1"/>
      <c r="M688" s="1"/>
    </row>
    <row r="689" ht="15.75" customHeight="1" spans="1:13" x14ac:dyDescent="0.25">
      <c r="A689" s="1"/>
      <c r="B689" s="1"/>
      <c r="C689" s="1"/>
      <c r="D689" s="1"/>
      <c r="E689" s="1"/>
      <c r="F689" s="1"/>
      <c r="G689" s="1"/>
      <c r="H689" s="1"/>
      <c r="I689" s="1"/>
      <c r="J689" s="1"/>
      <c r="K689" s="1"/>
      <c r="L689" s="1"/>
      <c r="M689" s="1"/>
    </row>
    <row r="690" ht="15.75" customHeight="1" spans="1:13" x14ac:dyDescent="0.25">
      <c r="A690" s="1"/>
      <c r="B690" s="1"/>
      <c r="C690" s="1"/>
      <c r="D690" s="1"/>
      <c r="E690" s="1"/>
      <c r="F690" s="1"/>
      <c r="G690" s="1"/>
      <c r="H690" s="1"/>
      <c r="I690" s="1"/>
      <c r="J690" s="1"/>
      <c r="K690" s="1"/>
      <c r="L690" s="1"/>
      <c r="M690" s="1"/>
    </row>
    <row r="691" ht="15.75" customHeight="1" spans="1:13" x14ac:dyDescent="0.25">
      <c r="A691" s="1"/>
      <c r="B691" s="1"/>
      <c r="C691" s="1"/>
      <c r="D691" s="1"/>
      <c r="E691" s="1"/>
      <c r="F691" s="1"/>
      <c r="G691" s="1"/>
      <c r="H691" s="1"/>
      <c r="I691" s="1"/>
      <c r="J691" s="1"/>
      <c r="K691" s="1"/>
      <c r="L691" s="1"/>
      <c r="M691" s="1"/>
    </row>
    <row r="692" ht="15.75" customHeight="1" spans="1:13" x14ac:dyDescent="0.25">
      <c r="A692" s="1"/>
      <c r="B692" s="1"/>
      <c r="C692" s="1"/>
      <c r="D692" s="1"/>
      <c r="E692" s="1"/>
      <c r="F692" s="1"/>
      <c r="G692" s="1"/>
      <c r="H692" s="1"/>
      <c r="I692" s="1"/>
      <c r="J692" s="1"/>
      <c r="K692" s="1"/>
      <c r="L692" s="1"/>
      <c r="M692" s="1"/>
    </row>
    <row r="693" ht="15.75" customHeight="1" spans="1:13" x14ac:dyDescent="0.25">
      <c r="A693" s="1"/>
      <c r="B693" s="1"/>
      <c r="C693" s="1"/>
      <c r="D693" s="1"/>
      <c r="E693" s="1"/>
      <c r="F693" s="1"/>
      <c r="G693" s="1"/>
      <c r="H693" s="1"/>
      <c r="I693" s="1"/>
      <c r="J693" s="1"/>
      <c r="K693" s="1"/>
      <c r="L693" s="1"/>
      <c r="M693" s="1"/>
    </row>
    <row r="694" ht="15.75" customHeight="1" spans="1:13" x14ac:dyDescent="0.25">
      <c r="A694" s="1"/>
      <c r="B694" s="1"/>
      <c r="C694" s="1"/>
      <c r="D694" s="1"/>
      <c r="E694" s="1"/>
      <c r="F694" s="1"/>
      <c r="G694" s="1"/>
      <c r="H694" s="1"/>
      <c r="I694" s="1"/>
      <c r="J694" s="1"/>
      <c r="K694" s="1"/>
      <c r="L694" s="1"/>
      <c r="M694" s="1"/>
    </row>
    <row r="695" ht="15.75" customHeight="1" spans="1:13" x14ac:dyDescent="0.25">
      <c r="A695" s="1"/>
      <c r="B695" s="1"/>
      <c r="C695" s="1"/>
      <c r="D695" s="1"/>
      <c r="E695" s="1"/>
      <c r="F695" s="1"/>
      <c r="G695" s="1"/>
      <c r="H695" s="1"/>
      <c r="I695" s="1"/>
      <c r="J695" s="1"/>
      <c r="K695" s="1"/>
      <c r="L695" s="1"/>
      <c r="M695" s="1"/>
    </row>
    <row r="696" ht="15.75" customHeight="1" spans="1:13" x14ac:dyDescent="0.25">
      <c r="A696" s="1"/>
      <c r="B696" s="1"/>
      <c r="C696" s="1"/>
      <c r="D696" s="1"/>
      <c r="E696" s="1"/>
      <c r="F696" s="1"/>
      <c r="G696" s="1"/>
      <c r="H696" s="1"/>
      <c r="I696" s="1"/>
      <c r="J696" s="1"/>
      <c r="K696" s="1"/>
      <c r="L696" s="1"/>
      <c r="M696" s="1"/>
    </row>
    <row r="697" ht="15.75" customHeight="1" spans="1:13" x14ac:dyDescent="0.25">
      <c r="A697" s="1"/>
      <c r="B697" s="1"/>
      <c r="C697" s="1"/>
      <c r="D697" s="1"/>
      <c r="E697" s="1"/>
      <c r="F697" s="1"/>
      <c r="G697" s="1"/>
      <c r="H697" s="1"/>
      <c r="I697" s="1"/>
      <c r="J697" s="1"/>
      <c r="K697" s="1"/>
      <c r="L697" s="1"/>
      <c r="M697" s="1"/>
    </row>
    <row r="698" ht="15.75" customHeight="1" spans="1:13" x14ac:dyDescent="0.25">
      <c r="A698" s="1"/>
      <c r="B698" s="1"/>
      <c r="C698" s="1"/>
      <c r="D698" s="1"/>
      <c r="E698" s="1"/>
      <c r="F698" s="1"/>
      <c r="G698" s="1"/>
      <c r="H698" s="1"/>
      <c r="I698" s="1"/>
      <c r="J698" s="1"/>
      <c r="K698" s="1"/>
      <c r="L698" s="1"/>
      <c r="M698" s="1"/>
    </row>
    <row r="699" ht="15.75" customHeight="1" spans="1:13" x14ac:dyDescent="0.25">
      <c r="A699" s="1"/>
      <c r="B699" s="1"/>
      <c r="C699" s="1"/>
      <c r="D699" s="1"/>
      <c r="E699" s="1"/>
      <c r="F699" s="1"/>
      <c r="G699" s="1"/>
      <c r="H699" s="1"/>
      <c r="I699" s="1"/>
      <c r="J699" s="1"/>
      <c r="K699" s="1"/>
      <c r="L699" s="1"/>
      <c r="M699" s="1"/>
    </row>
    <row r="700" ht="15.75" customHeight="1" spans="1:13" x14ac:dyDescent="0.25">
      <c r="A700" s="1"/>
      <c r="B700" s="1"/>
      <c r="C700" s="1"/>
      <c r="D700" s="1"/>
      <c r="E700" s="1"/>
      <c r="F700" s="1"/>
      <c r="G700" s="1"/>
      <c r="H700" s="1"/>
      <c r="I700" s="1"/>
      <c r="J700" s="1"/>
      <c r="K700" s="1"/>
      <c r="L700" s="1"/>
      <c r="M700" s="1"/>
    </row>
    <row r="701" ht="15.75" customHeight="1" spans="1:13" x14ac:dyDescent="0.25">
      <c r="A701" s="1"/>
      <c r="B701" s="1"/>
      <c r="C701" s="1"/>
      <c r="D701" s="1"/>
      <c r="E701" s="1"/>
      <c r="F701" s="1"/>
      <c r="G701" s="1"/>
      <c r="H701" s="1"/>
      <c r="I701" s="1"/>
      <c r="J701" s="1"/>
      <c r="K701" s="1"/>
      <c r="L701" s="1"/>
      <c r="M701" s="1"/>
    </row>
    <row r="702" ht="15.75" customHeight="1" spans="1:13" x14ac:dyDescent="0.25">
      <c r="A702" s="1"/>
      <c r="B702" s="1"/>
      <c r="C702" s="1"/>
      <c r="D702" s="1"/>
      <c r="E702" s="1"/>
      <c r="F702" s="1"/>
      <c r="G702" s="1"/>
      <c r="H702" s="1"/>
      <c r="I702" s="1"/>
      <c r="J702" s="1"/>
      <c r="K702" s="1"/>
      <c r="L702" s="1"/>
      <c r="M702" s="1"/>
    </row>
    <row r="703" ht="15.75" customHeight="1" spans="1:13" x14ac:dyDescent="0.25">
      <c r="A703" s="1"/>
      <c r="B703" s="1"/>
      <c r="C703" s="1"/>
      <c r="D703" s="1"/>
      <c r="E703" s="1"/>
      <c r="F703" s="1"/>
      <c r="G703" s="1"/>
      <c r="H703" s="1"/>
      <c r="I703" s="1"/>
      <c r="J703" s="1"/>
      <c r="K703" s="1"/>
      <c r="L703" s="1"/>
      <c r="M703" s="1"/>
    </row>
    <row r="704" ht="15.75" customHeight="1" spans="1:13" x14ac:dyDescent="0.25">
      <c r="A704" s="1"/>
      <c r="B704" s="1"/>
      <c r="C704" s="1"/>
      <c r="D704" s="1"/>
      <c r="E704" s="1"/>
      <c r="F704" s="1"/>
      <c r="G704" s="1"/>
      <c r="H704" s="1"/>
      <c r="I704" s="1"/>
      <c r="J704" s="1"/>
      <c r="K704" s="1"/>
      <c r="L704" s="1"/>
      <c r="M704" s="1"/>
    </row>
    <row r="705" ht="15.75" customHeight="1" spans="1:13" x14ac:dyDescent="0.25">
      <c r="A705" s="1"/>
      <c r="B705" s="1"/>
      <c r="C705" s="1"/>
      <c r="D705" s="1"/>
      <c r="E705" s="1"/>
      <c r="F705" s="1"/>
      <c r="G705" s="1"/>
      <c r="H705" s="1"/>
      <c r="I705" s="1"/>
      <c r="J705" s="1"/>
      <c r="K705" s="1"/>
      <c r="L705" s="1"/>
      <c r="M705" s="1"/>
    </row>
    <row r="706" ht="15.75" customHeight="1" spans="1:13" x14ac:dyDescent="0.25">
      <c r="A706" s="1"/>
      <c r="B706" s="1"/>
      <c r="C706" s="1"/>
      <c r="D706" s="1"/>
      <c r="E706" s="1"/>
      <c r="F706" s="1"/>
      <c r="G706" s="1"/>
      <c r="H706" s="1"/>
      <c r="I706" s="1"/>
      <c r="J706" s="1"/>
      <c r="K706" s="1"/>
      <c r="L706" s="1"/>
      <c r="M706" s="1"/>
    </row>
    <row r="707" ht="15.75" customHeight="1" spans="1:13" x14ac:dyDescent="0.25">
      <c r="A707" s="1"/>
      <c r="B707" s="1"/>
      <c r="C707" s="1"/>
      <c r="D707" s="1"/>
      <c r="E707" s="1"/>
      <c r="F707" s="1"/>
      <c r="G707" s="1"/>
      <c r="H707" s="1"/>
      <c r="I707" s="1"/>
      <c r="J707" s="1"/>
      <c r="K707" s="1"/>
      <c r="L707" s="1"/>
      <c r="M707" s="1"/>
    </row>
    <row r="708" ht="15.75" customHeight="1" spans="1:13" x14ac:dyDescent="0.25">
      <c r="A708" s="1"/>
      <c r="B708" s="1"/>
      <c r="C708" s="1"/>
      <c r="D708" s="1"/>
      <c r="E708" s="1"/>
      <c r="F708" s="1"/>
      <c r="G708" s="1"/>
      <c r="H708" s="1"/>
      <c r="I708" s="1"/>
      <c r="J708" s="1"/>
      <c r="K708" s="1"/>
      <c r="L708" s="1"/>
      <c r="M708" s="1"/>
    </row>
    <row r="709" ht="15.75" customHeight="1" spans="1:13" x14ac:dyDescent="0.25">
      <c r="A709" s="1"/>
      <c r="B709" s="1"/>
      <c r="C709" s="1"/>
      <c r="D709" s="1"/>
      <c r="E709" s="1"/>
      <c r="F709" s="1"/>
      <c r="G709" s="1"/>
      <c r="H709" s="1"/>
      <c r="I709" s="1"/>
      <c r="J709" s="1"/>
      <c r="K709" s="1"/>
      <c r="L709" s="1"/>
      <c r="M709" s="1"/>
    </row>
    <row r="710" ht="15.75" customHeight="1" spans="1:13" x14ac:dyDescent="0.25">
      <c r="A710" s="1"/>
      <c r="B710" s="1"/>
      <c r="C710" s="1"/>
      <c r="D710" s="1"/>
      <c r="E710" s="1"/>
      <c r="F710" s="1"/>
      <c r="G710" s="1"/>
      <c r="H710" s="1"/>
      <c r="I710" s="1"/>
      <c r="J710" s="1"/>
      <c r="K710" s="1"/>
      <c r="L710" s="1"/>
      <c r="M710" s="1"/>
    </row>
    <row r="711" ht="15.75" customHeight="1" spans="1:13" x14ac:dyDescent="0.25">
      <c r="A711" s="1"/>
      <c r="B711" s="1"/>
      <c r="C711" s="1"/>
      <c r="D711" s="1"/>
      <c r="E711" s="1"/>
      <c r="F711" s="1"/>
      <c r="G711" s="1"/>
      <c r="H711" s="1"/>
      <c r="I711" s="1"/>
      <c r="J711" s="1"/>
      <c r="K711" s="1"/>
      <c r="L711" s="1"/>
      <c r="M711" s="1"/>
    </row>
    <row r="712" ht="15.75" customHeight="1" spans="1:13" x14ac:dyDescent="0.25">
      <c r="A712" s="1"/>
      <c r="B712" s="1"/>
      <c r="C712" s="1"/>
      <c r="D712" s="1"/>
      <c r="E712" s="1"/>
      <c r="F712" s="1"/>
      <c r="G712" s="1"/>
      <c r="H712" s="1"/>
      <c r="I712" s="1"/>
      <c r="J712" s="1"/>
      <c r="K712" s="1"/>
      <c r="L712" s="1"/>
      <c r="M712" s="1"/>
    </row>
    <row r="713" ht="15.75" customHeight="1" spans="1:13" x14ac:dyDescent="0.25">
      <c r="A713" s="1"/>
      <c r="B713" s="1"/>
      <c r="C713" s="1"/>
      <c r="D713" s="1"/>
      <c r="E713" s="1"/>
      <c r="F713" s="1"/>
      <c r="G713" s="1"/>
      <c r="H713" s="1"/>
      <c r="I713" s="1"/>
      <c r="J713" s="1"/>
      <c r="K713" s="1"/>
      <c r="L713" s="1"/>
      <c r="M713" s="1"/>
    </row>
    <row r="714" ht="15.75" customHeight="1" spans="1:13" x14ac:dyDescent="0.25">
      <c r="A714" s="1"/>
      <c r="B714" s="1"/>
      <c r="C714" s="1"/>
      <c r="D714" s="1"/>
      <c r="E714" s="1"/>
      <c r="F714" s="1"/>
      <c r="G714" s="1"/>
      <c r="H714" s="1"/>
      <c r="I714" s="1"/>
      <c r="J714" s="1"/>
      <c r="K714" s="1"/>
      <c r="L714" s="1"/>
      <c r="M714" s="1"/>
    </row>
    <row r="715" ht="15.75" customHeight="1" spans="1:13" x14ac:dyDescent="0.25">
      <c r="A715" s="1"/>
      <c r="B715" s="1"/>
      <c r="C715" s="1"/>
      <c r="D715" s="1"/>
      <c r="E715" s="1"/>
      <c r="F715" s="1"/>
      <c r="G715" s="1"/>
      <c r="H715" s="1"/>
      <c r="I715" s="1"/>
      <c r="J715" s="1"/>
      <c r="K715" s="1"/>
      <c r="L715" s="1"/>
      <c r="M715" s="1"/>
    </row>
    <row r="716" ht="15.75" customHeight="1" spans="1:13" x14ac:dyDescent="0.25">
      <c r="A716" s="1"/>
      <c r="B716" s="1"/>
      <c r="C716" s="1"/>
      <c r="D716" s="1"/>
      <c r="E716" s="1"/>
      <c r="F716" s="1"/>
      <c r="G716" s="1"/>
      <c r="H716" s="1"/>
      <c r="I716" s="1"/>
      <c r="J716" s="1"/>
      <c r="K716" s="1"/>
      <c r="L716" s="1"/>
      <c r="M716" s="1"/>
    </row>
    <row r="717" ht="15.75" customHeight="1" spans="1:13" x14ac:dyDescent="0.25">
      <c r="A717" s="1"/>
      <c r="B717" s="1"/>
      <c r="C717" s="1"/>
      <c r="D717" s="1"/>
      <c r="E717" s="1"/>
      <c r="F717" s="1"/>
      <c r="G717" s="1"/>
      <c r="H717" s="1"/>
      <c r="I717" s="1"/>
      <c r="J717" s="1"/>
      <c r="K717" s="1"/>
      <c r="L717" s="1"/>
      <c r="M717" s="1"/>
    </row>
    <row r="718" ht="15.75" customHeight="1" spans="1:13" x14ac:dyDescent="0.25">
      <c r="A718" s="1"/>
      <c r="B718" s="1"/>
      <c r="C718" s="1"/>
      <c r="D718" s="1"/>
      <c r="E718" s="1"/>
      <c r="F718" s="1"/>
      <c r="G718" s="1"/>
      <c r="H718" s="1"/>
      <c r="I718" s="1"/>
      <c r="J718" s="1"/>
      <c r="K718" s="1"/>
      <c r="L718" s="1"/>
      <c r="M718" s="1"/>
    </row>
    <row r="719" ht="15.75" customHeight="1" spans="1:13" x14ac:dyDescent="0.25">
      <c r="A719" s="1"/>
      <c r="B719" s="1"/>
      <c r="C719" s="1"/>
      <c r="D719" s="1"/>
      <c r="E719" s="1"/>
      <c r="F719" s="1"/>
      <c r="G719" s="1"/>
      <c r="H719" s="1"/>
      <c r="I719" s="1"/>
      <c r="J719" s="1"/>
      <c r="K719" s="1"/>
      <c r="L719" s="1"/>
      <c r="M719" s="1"/>
    </row>
    <row r="720" ht="15.75" customHeight="1" spans="1:13" x14ac:dyDescent="0.25">
      <c r="A720" s="1"/>
      <c r="B720" s="1"/>
      <c r="C720" s="1"/>
      <c r="D720" s="1"/>
      <c r="E720" s="1"/>
      <c r="F720" s="1"/>
      <c r="G720" s="1"/>
      <c r="H720" s="1"/>
      <c r="I720" s="1"/>
      <c r="J720" s="1"/>
      <c r="K720" s="1"/>
      <c r="L720" s="1"/>
      <c r="M720" s="1"/>
    </row>
    <row r="721" ht="15.75" customHeight="1" spans="1:13" x14ac:dyDescent="0.25">
      <c r="A721" s="1"/>
      <c r="B721" s="1"/>
      <c r="C721" s="1"/>
      <c r="D721" s="1"/>
      <c r="E721" s="1"/>
      <c r="F721" s="1"/>
      <c r="G721" s="1"/>
      <c r="H721" s="1"/>
      <c r="I721" s="1"/>
      <c r="J721" s="1"/>
      <c r="K721" s="1"/>
      <c r="L721" s="1"/>
      <c r="M721" s="1"/>
    </row>
    <row r="722" ht="15.75" customHeight="1" spans="1:13" x14ac:dyDescent="0.25">
      <c r="A722" s="1"/>
      <c r="B722" s="1"/>
      <c r="C722" s="1"/>
      <c r="D722" s="1"/>
      <c r="E722" s="1"/>
      <c r="F722" s="1"/>
      <c r="G722" s="1"/>
      <c r="H722" s="1"/>
      <c r="I722" s="1"/>
      <c r="J722" s="1"/>
      <c r="K722" s="1"/>
      <c r="L722" s="1"/>
      <c r="M722" s="1"/>
    </row>
    <row r="723" ht="15.75" customHeight="1" spans="1:13" x14ac:dyDescent="0.25">
      <c r="A723" s="1"/>
      <c r="B723" s="1"/>
      <c r="C723" s="1"/>
      <c r="D723" s="1"/>
      <c r="E723" s="1"/>
      <c r="F723" s="1"/>
      <c r="G723" s="1"/>
      <c r="H723" s="1"/>
      <c r="I723" s="1"/>
      <c r="J723" s="1"/>
      <c r="K723" s="1"/>
      <c r="L723" s="1"/>
      <c r="M723" s="1"/>
    </row>
    <row r="724" ht="15.75" customHeight="1" spans="1:13" x14ac:dyDescent="0.25">
      <c r="A724" s="1"/>
      <c r="B724" s="1"/>
      <c r="C724" s="1"/>
      <c r="D724" s="1"/>
      <c r="E724" s="1"/>
      <c r="F724" s="1"/>
      <c r="G724" s="1"/>
      <c r="H724" s="1"/>
      <c r="I724" s="1"/>
      <c r="J724" s="1"/>
      <c r="K724" s="1"/>
      <c r="L724" s="1"/>
      <c r="M724" s="1"/>
    </row>
    <row r="725" ht="15.75" customHeight="1" spans="1:13" x14ac:dyDescent="0.25">
      <c r="A725" s="1"/>
      <c r="B725" s="1"/>
      <c r="C725" s="1"/>
      <c r="D725" s="1"/>
      <c r="E725" s="1"/>
      <c r="F725" s="1"/>
      <c r="G725" s="1"/>
      <c r="H725" s="1"/>
      <c r="I725" s="1"/>
      <c r="J725" s="1"/>
      <c r="K725" s="1"/>
      <c r="L725" s="1"/>
      <c r="M725" s="1"/>
    </row>
    <row r="726" ht="15.75" customHeight="1" spans="1:13" x14ac:dyDescent="0.25">
      <c r="A726" s="1"/>
      <c r="B726" s="1"/>
      <c r="C726" s="1"/>
      <c r="D726" s="1"/>
      <c r="E726" s="1"/>
      <c r="F726" s="1"/>
      <c r="G726" s="1"/>
      <c r="H726" s="1"/>
      <c r="I726" s="1"/>
      <c r="J726" s="1"/>
      <c r="K726" s="1"/>
      <c r="L726" s="1"/>
      <c r="M726" s="1"/>
    </row>
    <row r="727" ht="15.75" customHeight="1" spans="1:13" x14ac:dyDescent="0.25">
      <c r="A727" s="1"/>
      <c r="B727" s="1"/>
      <c r="C727" s="1"/>
      <c r="D727" s="1"/>
      <c r="E727" s="1"/>
      <c r="F727" s="1"/>
      <c r="G727" s="1"/>
      <c r="H727" s="1"/>
      <c r="I727" s="1"/>
      <c r="J727" s="1"/>
      <c r="K727" s="1"/>
      <c r="L727" s="1"/>
      <c r="M727" s="1"/>
    </row>
    <row r="728" ht="15.75" customHeight="1" spans="1:13" x14ac:dyDescent="0.25">
      <c r="A728" s="1"/>
      <c r="B728" s="1"/>
      <c r="C728" s="1"/>
      <c r="D728" s="1"/>
      <c r="E728" s="1"/>
      <c r="F728" s="1"/>
      <c r="G728" s="1"/>
      <c r="H728" s="1"/>
      <c r="I728" s="1"/>
      <c r="J728" s="1"/>
      <c r="K728" s="1"/>
      <c r="L728" s="1"/>
      <c r="M728" s="1"/>
    </row>
    <row r="729" ht="15.75" customHeight="1" spans="1:13" x14ac:dyDescent="0.25">
      <c r="A729" s="1"/>
      <c r="B729" s="1"/>
      <c r="C729" s="1"/>
      <c r="D729" s="1"/>
      <c r="E729" s="1"/>
      <c r="F729" s="1"/>
      <c r="G729" s="1"/>
      <c r="H729" s="1"/>
      <c r="I729" s="1"/>
      <c r="J729" s="1"/>
      <c r="K729" s="1"/>
      <c r="L729" s="1"/>
      <c r="M729" s="1"/>
    </row>
    <row r="730" ht="15.75" customHeight="1" spans="1:13" x14ac:dyDescent="0.25">
      <c r="A730" s="1"/>
      <c r="B730" s="1"/>
      <c r="C730" s="1"/>
      <c r="D730" s="1"/>
      <c r="E730" s="1"/>
      <c r="F730" s="1"/>
      <c r="G730" s="1"/>
      <c r="H730" s="1"/>
      <c r="I730" s="1"/>
      <c r="J730" s="1"/>
      <c r="K730" s="1"/>
      <c r="L730" s="1"/>
      <c r="M730" s="1"/>
    </row>
    <row r="731" ht="15.75" customHeight="1" spans="1:13" x14ac:dyDescent="0.25">
      <c r="A731" s="1"/>
      <c r="B731" s="1"/>
      <c r="C731" s="1"/>
      <c r="D731" s="1"/>
      <c r="E731" s="1"/>
      <c r="F731" s="1"/>
      <c r="G731" s="1"/>
      <c r="H731" s="1"/>
      <c r="I731" s="1"/>
      <c r="J731" s="1"/>
      <c r="K731" s="1"/>
      <c r="L731" s="1"/>
      <c r="M731" s="1"/>
    </row>
    <row r="732" ht="15.75" customHeight="1" spans="1:13" x14ac:dyDescent="0.25">
      <c r="A732" s="1"/>
      <c r="B732" s="1"/>
      <c r="C732" s="1"/>
      <c r="D732" s="1"/>
      <c r="E732" s="1"/>
      <c r="F732" s="1"/>
      <c r="G732" s="1"/>
      <c r="H732" s="1"/>
      <c r="I732" s="1"/>
      <c r="J732" s="1"/>
      <c r="K732" s="1"/>
      <c r="L732" s="1"/>
      <c r="M732" s="1"/>
    </row>
    <row r="733" ht="15.75" customHeight="1" spans="1:13" x14ac:dyDescent="0.25">
      <c r="A733" s="1"/>
      <c r="B733" s="1"/>
      <c r="C733" s="1"/>
      <c r="D733" s="1"/>
      <c r="E733" s="1"/>
      <c r="F733" s="1"/>
      <c r="G733" s="1"/>
      <c r="H733" s="1"/>
      <c r="I733" s="1"/>
      <c r="J733" s="1"/>
      <c r="K733" s="1"/>
      <c r="L733" s="1"/>
      <c r="M733" s="1"/>
    </row>
    <row r="734" ht="15.75" customHeight="1" spans="1:13" x14ac:dyDescent="0.25">
      <c r="A734" s="1"/>
      <c r="B734" s="1"/>
      <c r="C734" s="1"/>
      <c r="D734" s="1"/>
      <c r="E734" s="1"/>
      <c r="F734" s="1"/>
      <c r="G734" s="1"/>
      <c r="H734" s="1"/>
      <c r="I734" s="1"/>
      <c r="J734" s="1"/>
      <c r="K734" s="1"/>
      <c r="L734" s="1"/>
      <c r="M734" s="1"/>
    </row>
    <row r="735" ht="15.75" customHeight="1" spans="1:13" x14ac:dyDescent="0.25">
      <c r="A735" s="1"/>
      <c r="B735" s="1"/>
      <c r="C735" s="1"/>
      <c r="D735" s="1"/>
      <c r="E735" s="1"/>
      <c r="F735" s="1"/>
      <c r="G735" s="1"/>
      <c r="H735" s="1"/>
      <c r="I735" s="1"/>
      <c r="J735" s="1"/>
      <c r="K735" s="1"/>
      <c r="L735" s="1"/>
      <c r="M735" s="1"/>
    </row>
    <row r="736" ht="15.75" customHeight="1" spans="1:13" x14ac:dyDescent="0.25">
      <c r="A736" s="1"/>
      <c r="B736" s="1"/>
      <c r="C736" s="1"/>
      <c r="D736" s="1"/>
      <c r="E736" s="1"/>
      <c r="F736" s="1"/>
      <c r="G736" s="1"/>
      <c r="H736" s="1"/>
      <c r="I736" s="1"/>
      <c r="J736" s="1"/>
      <c r="K736" s="1"/>
      <c r="L736" s="1"/>
      <c r="M736" s="1"/>
    </row>
    <row r="737" ht="15.75" customHeight="1" spans="1:13" x14ac:dyDescent="0.25">
      <c r="A737" s="1"/>
      <c r="B737" s="1"/>
      <c r="C737" s="1"/>
      <c r="D737" s="1"/>
      <c r="E737" s="1"/>
      <c r="F737" s="1"/>
      <c r="G737" s="1"/>
      <c r="H737" s="1"/>
      <c r="I737" s="1"/>
      <c r="J737" s="1"/>
      <c r="K737" s="1"/>
      <c r="L737" s="1"/>
      <c r="M737" s="1"/>
    </row>
    <row r="738" ht="15.75" customHeight="1" spans="1:13" x14ac:dyDescent="0.25">
      <c r="A738" s="1"/>
      <c r="B738" s="1"/>
      <c r="C738" s="1"/>
      <c r="D738" s="1"/>
      <c r="E738" s="1"/>
      <c r="F738" s="1"/>
      <c r="G738" s="1"/>
      <c r="H738" s="1"/>
      <c r="I738" s="1"/>
      <c r="J738" s="1"/>
      <c r="K738" s="1"/>
      <c r="L738" s="1"/>
      <c r="M738" s="1"/>
    </row>
    <row r="739" ht="15.75" customHeight="1" spans="1:13" x14ac:dyDescent="0.25">
      <c r="A739" s="1"/>
      <c r="B739" s="1"/>
      <c r="C739" s="1"/>
      <c r="D739" s="1"/>
      <c r="E739" s="1"/>
      <c r="F739" s="1"/>
      <c r="G739" s="1"/>
      <c r="H739" s="1"/>
      <c r="I739" s="1"/>
      <c r="J739" s="1"/>
      <c r="K739" s="1"/>
      <c r="L739" s="1"/>
      <c r="M739" s="1"/>
    </row>
    <row r="740" ht="15.75" customHeight="1" spans="1:13" x14ac:dyDescent="0.25">
      <c r="A740" s="1"/>
      <c r="B740" s="1"/>
      <c r="C740" s="1"/>
      <c r="D740" s="1"/>
      <c r="E740" s="1"/>
      <c r="F740" s="1"/>
      <c r="G740" s="1"/>
      <c r="H740" s="1"/>
      <c r="I740" s="1"/>
      <c r="J740" s="1"/>
      <c r="K740" s="1"/>
      <c r="L740" s="1"/>
      <c r="M740" s="1"/>
    </row>
    <row r="741" ht="15.75" customHeight="1" spans="1:13" x14ac:dyDescent="0.25">
      <c r="A741" s="1"/>
      <c r="B741" s="1"/>
      <c r="C741" s="1"/>
      <c r="D741" s="1"/>
      <c r="E741" s="1"/>
      <c r="F741" s="1"/>
      <c r="G741" s="1"/>
      <c r="H741" s="1"/>
      <c r="I741" s="1"/>
      <c r="J741" s="1"/>
      <c r="K741" s="1"/>
      <c r="L741" s="1"/>
      <c r="M741" s="1"/>
    </row>
    <row r="742" ht="15.75" customHeight="1" spans="1:13" x14ac:dyDescent="0.25">
      <c r="A742" s="1"/>
      <c r="B742" s="1"/>
      <c r="C742" s="1"/>
      <c r="D742" s="1"/>
      <c r="E742" s="1"/>
      <c r="F742" s="1"/>
      <c r="G742" s="1"/>
      <c r="H742" s="1"/>
      <c r="I742" s="1"/>
      <c r="J742" s="1"/>
      <c r="K742" s="1"/>
      <c r="L742" s="1"/>
      <c r="M742" s="1"/>
    </row>
    <row r="743" ht="15.75" customHeight="1" spans="1:13" x14ac:dyDescent="0.25">
      <c r="A743" s="1"/>
      <c r="B743" s="1"/>
      <c r="C743" s="1"/>
      <c r="D743" s="1"/>
      <c r="E743" s="1"/>
      <c r="F743" s="1"/>
      <c r="G743" s="1"/>
      <c r="H743" s="1"/>
      <c r="I743" s="1"/>
      <c r="J743" s="1"/>
      <c r="K743" s="1"/>
      <c r="L743" s="1"/>
      <c r="M743" s="1"/>
    </row>
    <row r="744" ht="15.75" customHeight="1" spans="1:13" x14ac:dyDescent="0.25">
      <c r="A744" s="1"/>
      <c r="B744" s="1"/>
      <c r="C744" s="1"/>
      <c r="D744" s="1"/>
      <c r="E744" s="1"/>
      <c r="F744" s="1"/>
      <c r="G744" s="1"/>
      <c r="H744" s="1"/>
      <c r="I744" s="1"/>
      <c r="J744" s="1"/>
      <c r="K744" s="1"/>
      <c r="L744" s="1"/>
      <c r="M744" s="1"/>
    </row>
    <row r="745" ht="15.75" customHeight="1" spans="1:13" x14ac:dyDescent="0.25">
      <c r="A745" s="1"/>
      <c r="B745" s="1"/>
      <c r="C745" s="1"/>
      <c r="D745" s="1"/>
      <c r="E745" s="1"/>
      <c r="F745" s="1"/>
      <c r="G745" s="1"/>
      <c r="H745" s="1"/>
      <c r="I745" s="1"/>
      <c r="J745" s="1"/>
      <c r="K745" s="1"/>
      <c r="L745" s="1"/>
      <c r="M745" s="1"/>
    </row>
    <row r="746" ht="15.75" customHeight="1" spans="1:13" x14ac:dyDescent="0.25">
      <c r="A746" s="1"/>
      <c r="B746" s="1"/>
      <c r="C746" s="1"/>
      <c r="D746" s="1"/>
      <c r="E746" s="1"/>
      <c r="F746" s="1"/>
      <c r="G746" s="1"/>
      <c r="H746" s="1"/>
      <c r="I746" s="1"/>
      <c r="J746" s="1"/>
      <c r="K746" s="1"/>
      <c r="L746" s="1"/>
      <c r="M746" s="1"/>
    </row>
    <row r="747" ht="15.75" customHeight="1" spans="1:13" x14ac:dyDescent="0.25">
      <c r="A747" s="1"/>
      <c r="B747" s="1"/>
      <c r="C747" s="1"/>
      <c r="D747" s="1"/>
      <c r="E747" s="1"/>
      <c r="F747" s="1"/>
      <c r="G747" s="1"/>
      <c r="H747" s="1"/>
      <c r="I747" s="1"/>
      <c r="J747" s="1"/>
      <c r="K747" s="1"/>
      <c r="L747" s="1"/>
      <c r="M747" s="1"/>
    </row>
    <row r="748" ht="15.75" customHeight="1" spans="1:13" x14ac:dyDescent="0.25">
      <c r="A748" s="1"/>
      <c r="B748" s="1"/>
      <c r="C748" s="1"/>
      <c r="D748" s="1"/>
      <c r="E748" s="1"/>
      <c r="F748" s="1"/>
      <c r="G748" s="1"/>
      <c r="H748" s="1"/>
      <c r="I748" s="1"/>
      <c r="J748" s="1"/>
      <c r="K748" s="1"/>
      <c r="L748" s="1"/>
      <c r="M748" s="1"/>
    </row>
    <row r="749" ht="15.75" customHeight="1" spans="1:13" x14ac:dyDescent="0.25">
      <c r="A749" s="1"/>
      <c r="B749" s="1"/>
      <c r="C749" s="1"/>
      <c r="D749" s="1"/>
      <c r="E749" s="1"/>
      <c r="F749" s="1"/>
      <c r="G749" s="1"/>
      <c r="H749" s="1"/>
      <c r="I749" s="1"/>
      <c r="J749" s="1"/>
      <c r="K749" s="1"/>
      <c r="L749" s="1"/>
      <c r="M749" s="1"/>
    </row>
    <row r="750" ht="15.75" customHeight="1" spans="1:13" x14ac:dyDescent="0.25">
      <c r="A750" s="1"/>
      <c r="B750" s="1"/>
      <c r="C750" s="1"/>
      <c r="D750" s="1"/>
      <c r="E750" s="1"/>
      <c r="F750" s="1"/>
      <c r="G750" s="1"/>
      <c r="H750" s="1"/>
      <c r="I750" s="1"/>
      <c r="J750" s="1"/>
      <c r="K750" s="1"/>
      <c r="L750" s="1"/>
      <c r="M750" s="1"/>
    </row>
    <row r="751" ht="15.75" customHeight="1" spans="1:13" x14ac:dyDescent="0.25">
      <c r="A751" s="1"/>
      <c r="B751" s="1"/>
      <c r="C751" s="1"/>
      <c r="D751" s="1"/>
      <c r="E751" s="1"/>
      <c r="F751" s="1"/>
      <c r="G751" s="1"/>
      <c r="H751" s="1"/>
      <c r="I751" s="1"/>
      <c r="J751" s="1"/>
      <c r="K751" s="1"/>
      <c r="L751" s="1"/>
      <c r="M751" s="1"/>
    </row>
    <row r="752" ht="15.75" customHeight="1" spans="1:13" x14ac:dyDescent="0.25">
      <c r="A752" s="1"/>
      <c r="B752" s="1"/>
      <c r="C752" s="1"/>
      <c r="D752" s="1"/>
      <c r="E752" s="1"/>
      <c r="F752" s="1"/>
      <c r="G752" s="1"/>
      <c r="H752" s="1"/>
      <c r="I752" s="1"/>
      <c r="J752" s="1"/>
      <c r="K752" s="1"/>
      <c r="L752" s="1"/>
      <c r="M752" s="1"/>
    </row>
    <row r="753" ht="15.75" customHeight="1" spans="1:13" x14ac:dyDescent="0.25">
      <c r="A753" s="1"/>
      <c r="B753" s="1"/>
      <c r="C753" s="1"/>
      <c r="D753" s="1"/>
      <c r="E753" s="1"/>
      <c r="F753" s="1"/>
      <c r="G753" s="1"/>
      <c r="H753" s="1"/>
      <c r="I753" s="1"/>
      <c r="J753" s="1"/>
      <c r="K753" s="1"/>
      <c r="L753" s="1"/>
      <c r="M753" s="1"/>
    </row>
    <row r="754" ht="15.75" customHeight="1" spans="1:13" x14ac:dyDescent="0.25">
      <c r="A754" s="1"/>
      <c r="B754" s="1"/>
      <c r="C754" s="1"/>
      <c r="D754" s="1"/>
      <c r="E754" s="1"/>
      <c r="F754" s="1"/>
      <c r="G754" s="1"/>
      <c r="H754" s="1"/>
      <c r="I754" s="1"/>
      <c r="J754" s="1"/>
      <c r="K754" s="1"/>
      <c r="L754" s="1"/>
      <c r="M754" s="1"/>
    </row>
    <row r="755" ht="15.75" customHeight="1" spans="1:13" x14ac:dyDescent="0.25">
      <c r="A755" s="1"/>
      <c r="B755" s="1"/>
      <c r="C755" s="1"/>
      <c r="D755" s="1"/>
      <c r="E755" s="1"/>
      <c r="F755" s="1"/>
      <c r="G755" s="1"/>
      <c r="H755" s="1"/>
      <c r="I755" s="1"/>
      <c r="J755" s="1"/>
      <c r="K755" s="1"/>
      <c r="L755" s="1"/>
      <c r="M755" s="1"/>
    </row>
    <row r="756" ht="15.75" customHeight="1" spans="1:13" x14ac:dyDescent="0.25">
      <c r="A756" s="1"/>
      <c r="B756" s="1"/>
      <c r="C756" s="1"/>
      <c r="D756" s="1"/>
      <c r="E756" s="1"/>
      <c r="F756" s="1"/>
      <c r="G756" s="1"/>
      <c r="H756" s="1"/>
      <c r="I756" s="1"/>
      <c r="J756" s="1"/>
      <c r="K756" s="1"/>
      <c r="L756" s="1"/>
      <c r="M756" s="1"/>
    </row>
    <row r="757" ht="15.75" customHeight="1" spans="1:13" x14ac:dyDescent="0.25">
      <c r="A757" s="1"/>
      <c r="B757" s="1"/>
      <c r="C757" s="1"/>
      <c r="D757" s="1"/>
      <c r="E757" s="1"/>
      <c r="F757" s="1"/>
      <c r="G757" s="1"/>
      <c r="H757" s="1"/>
      <c r="I757" s="1"/>
      <c r="J757" s="1"/>
      <c r="K757" s="1"/>
      <c r="L757" s="1"/>
      <c r="M757" s="1"/>
    </row>
    <row r="758" ht="15.75" customHeight="1" spans="1:13" x14ac:dyDescent="0.25">
      <c r="A758" s="1"/>
      <c r="B758" s="1"/>
      <c r="C758" s="1"/>
      <c r="D758" s="1"/>
      <c r="E758" s="1"/>
      <c r="F758" s="1"/>
      <c r="G758" s="1"/>
      <c r="H758" s="1"/>
      <c r="I758" s="1"/>
      <c r="J758" s="1"/>
      <c r="K758" s="1"/>
      <c r="L758" s="1"/>
      <c r="M758" s="1"/>
    </row>
    <row r="759" ht="15.75" customHeight="1" spans="1:13" x14ac:dyDescent="0.25">
      <c r="A759" s="1"/>
      <c r="B759" s="1"/>
      <c r="C759" s="1"/>
      <c r="D759" s="1"/>
      <c r="E759" s="1"/>
      <c r="F759" s="1"/>
      <c r="G759" s="1"/>
      <c r="H759" s="1"/>
      <c r="I759" s="1"/>
      <c r="J759" s="1"/>
      <c r="K759" s="1"/>
      <c r="L759" s="1"/>
      <c r="M759" s="1"/>
    </row>
    <row r="760" ht="15.75" customHeight="1" spans="1:13" x14ac:dyDescent="0.25">
      <c r="A760" s="1"/>
      <c r="B760" s="1"/>
      <c r="C760" s="1"/>
      <c r="D760" s="1"/>
      <c r="E760" s="1"/>
      <c r="F760" s="1"/>
      <c r="G760" s="1"/>
      <c r="H760" s="1"/>
      <c r="I760" s="1"/>
      <c r="J760" s="1"/>
      <c r="K760" s="1"/>
      <c r="L760" s="1"/>
      <c r="M760" s="1"/>
    </row>
    <row r="761" ht="15.75" customHeight="1" spans="1:13" x14ac:dyDescent="0.25">
      <c r="A761" s="1"/>
      <c r="B761" s="1"/>
      <c r="C761" s="1"/>
      <c r="D761" s="1"/>
      <c r="E761" s="1"/>
      <c r="F761" s="1"/>
      <c r="G761" s="1"/>
      <c r="H761" s="1"/>
      <c r="I761" s="1"/>
      <c r="J761" s="1"/>
      <c r="K761" s="1"/>
      <c r="L761" s="1"/>
      <c r="M761" s="1"/>
    </row>
    <row r="762" ht="15.75" customHeight="1" spans="1:13" x14ac:dyDescent="0.25">
      <c r="A762" s="1"/>
      <c r="B762" s="1"/>
      <c r="C762" s="1"/>
      <c r="D762" s="1"/>
      <c r="E762" s="1"/>
      <c r="F762" s="1"/>
      <c r="G762" s="1"/>
      <c r="H762" s="1"/>
      <c r="I762" s="1"/>
      <c r="J762" s="1"/>
      <c r="K762" s="1"/>
      <c r="L762" s="1"/>
      <c r="M762" s="1"/>
    </row>
    <row r="763" ht="15.75" customHeight="1" spans="1:13" x14ac:dyDescent="0.25">
      <c r="A763" s="1"/>
      <c r="B763" s="1"/>
      <c r="C763" s="1"/>
      <c r="D763" s="1"/>
      <c r="E763" s="1"/>
      <c r="F763" s="1"/>
      <c r="G763" s="1"/>
      <c r="H763" s="1"/>
      <c r="I763" s="1"/>
      <c r="J763" s="1"/>
      <c r="K763" s="1"/>
      <c r="L763" s="1"/>
      <c r="M763" s="1"/>
    </row>
    <row r="764" ht="15.75" customHeight="1" spans="1:13" x14ac:dyDescent="0.25">
      <c r="A764" s="1"/>
      <c r="B764" s="1"/>
      <c r="C764" s="1"/>
      <c r="D764" s="1"/>
      <c r="E764" s="1"/>
      <c r="F764" s="1"/>
      <c r="G764" s="1"/>
      <c r="H764" s="1"/>
      <c r="I764" s="1"/>
      <c r="J764" s="1"/>
      <c r="K764" s="1"/>
      <c r="L764" s="1"/>
      <c r="M764" s="1"/>
    </row>
    <row r="765" ht="15.75" customHeight="1" spans="1:13" x14ac:dyDescent="0.25">
      <c r="A765" s="1"/>
      <c r="B765" s="1"/>
      <c r="C765" s="1"/>
      <c r="D765" s="1"/>
      <c r="E765" s="1"/>
      <c r="F765" s="1"/>
      <c r="G765" s="1"/>
      <c r="H765" s="1"/>
      <c r="I765" s="1"/>
      <c r="J765" s="1"/>
      <c r="K765" s="1"/>
      <c r="L765" s="1"/>
      <c r="M765" s="1"/>
    </row>
    <row r="766" ht="15.75" customHeight="1" spans="1:13" x14ac:dyDescent="0.25">
      <c r="A766" s="1"/>
      <c r="B766" s="1"/>
      <c r="C766" s="1"/>
      <c r="D766" s="1"/>
      <c r="E766" s="1"/>
      <c r="F766" s="1"/>
      <c r="G766" s="1"/>
      <c r="H766" s="1"/>
      <c r="I766" s="1"/>
      <c r="J766" s="1"/>
      <c r="K766" s="1"/>
      <c r="L766" s="1"/>
      <c r="M766" s="1"/>
    </row>
    <row r="767" ht="15.75" customHeight="1" spans="1:13" x14ac:dyDescent="0.25">
      <c r="A767" s="1"/>
      <c r="B767" s="1"/>
      <c r="C767" s="1"/>
      <c r="D767" s="1"/>
      <c r="E767" s="1"/>
      <c r="F767" s="1"/>
      <c r="G767" s="1"/>
      <c r="H767" s="1"/>
      <c r="I767" s="1"/>
      <c r="J767" s="1"/>
      <c r="K767" s="1"/>
      <c r="L767" s="1"/>
      <c r="M767" s="1"/>
    </row>
    <row r="768" ht="15.75" customHeight="1" spans="1:13" x14ac:dyDescent="0.25">
      <c r="A768" s="1"/>
      <c r="B768" s="1"/>
      <c r="C768" s="1"/>
      <c r="D768" s="1"/>
      <c r="E768" s="1"/>
      <c r="F768" s="1"/>
      <c r="G768" s="1"/>
      <c r="H768" s="1"/>
      <c r="I768" s="1"/>
      <c r="J768" s="1"/>
      <c r="K768" s="1"/>
      <c r="L768" s="1"/>
      <c r="M768" s="1"/>
    </row>
    <row r="769" ht="15.75" customHeight="1" spans="1:13" x14ac:dyDescent="0.25">
      <c r="A769" s="1"/>
      <c r="B769" s="1"/>
      <c r="C769" s="1"/>
      <c r="D769" s="1"/>
      <c r="E769" s="1"/>
      <c r="F769" s="1"/>
      <c r="G769" s="1"/>
      <c r="H769" s="1"/>
      <c r="I769" s="1"/>
      <c r="J769" s="1"/>
      <c r="K769" s="1"/>
      <c r="L769" s="1"/>
      <c r="M769" s="1"/>
    </row>
    <row r="770" ht="15.75" customHeight="1" spans="1:13" x14ac:dyDescent="0.25">
      <c r="A770" s="1"/>
      <c r="B770" s="1"/>
      <c r="C770" s="1"/>
      <c r="D770" s="1"/>
      <c r="E770" s="1"/>
      <c r="F770" s="1"/>
      <c r="G770" s="1"/>
      <c r="H770" s="1"/>
      <c r="I770" s="1"/>
      <c r="J770" s="1"/>
      <c r="K770" s="1"/>
      <c r="L770" s="1"/>
      <c r="M770" s="1"/>
    </row>
    <row r="771" ht="15.75" customHeight="1" spans="1:13" x14ac:dyDescent="0.25">
      <c r="A771" s="1"/>
      <c r="B771" s="1"/>
      <c r="C771" s="1"/>
      <c r="D771" s="1"/>
      <c r="E771" s="1"/>
      <c r="F771" s="1"/>
      <c r="G771" s="1"/>
      <c r="H771" s="1"/>
      <c r="I771" s="1"/>
      <c r="J771" s="1"/>
      <c r="K771" s="1"/>
      <c r="L771" s="1"/>
      <c r="M771" s="1"/>
    </row>
    <row r="772" ht="15.75" customHeight="1" spans="1:13" x14ac:dyDescent="0.25">
      <c r="A772" s="1"/>
      <c r="B772" s="1"/>
      <c r="C772" s="1"/>
      <c r="D772" s="1"/>
      <c r="E772" s="1"/>
      <c r="F772" s="1"/>
      <c r="G772" s="1"/>
      <c r="H772" s="1"/>
      <c r="I772" s="1"/>
      <c r="J772" s="1"/>
      <c r="K772" s="1"/>
      <c r="L772" s="1"/>
      <c r="M772" s="1"/>
    </row>
    <row r="773" ht="15.75" customHeight="1" spans="1:13" x14ac:dyDescent="0.25">
      <c r="A773" s="1"/>
      <c r="B773" s="1"/>
      <c r="C773" s="1"/>
      <c r="D773" s="1"/>
      <c r="E773" s="1"/>
      <c r="F773" s="1"/>
      <c r="G773" s="1"/>
      <c r="H773" s="1"/>
      <c r="I773" s="1"/>
      <c r="J773" s="1"/>
      <c r="K773" s="1"/>
      <c r="L773" s="1"/>
      <c r="M773" s="1"/>
    </row>
    <row r="774" ht="15.75" customHeight="1" spans="1:13" x14ac:dyDescent="0.25">
      <c r="A774" s="1"/>
      <c r="B774" s="1"/>
      <c r="C774" s="1"/>
      <c r="D774" s="1"/>
      <c r="E774" s="1"/>
      <c r="F774" s="1"/>
      <c r="G774" s="1"/>
      <c r="H774" s="1"/>
      <c r="I774" s="1"/>
      <c r="J774" s="1"/>
      <c r="K774" s="1"/>
      <c r="L774" s="1"/>
      <c r="M774" s="1"/>
    </row>
    <row r="775" ht="15.75" customHeight="1" spans="1:13" x14ac:dyDescent="0.25">
      <c r="A775" s="1"/>
      <c r="B775" s="1"/>
      <c r="C775" s="1"/>
      <c r="D775" s="1"/>
      <c r="E775" s="1"/>
      <c r="F775" s="1"/>
      <c r="G775" s="1"/>
      <c r="H775" s="1"/>
      <c r="I775" s="1"/>
      <c r="J775" s="1"/>
      <c r="K775" s="1"/>
      <c r="L775" s="1"/>
      <c r="M775" s="1"/>
    </row>
    <row r="776" ht="15.75" customHeight="1" spans="1:13" x14ac:dyDescent="0.25">
      <c r="A776" s="1"/>
      <c r="B776" s="1"/>
      <c r="C776" s="1"/>
      <c r="D776" s="1"/>
      <c r="E776" s="1"/>
      <c r="F776" s="1"/>
      <c r="G776" s="1"/>
      <c r="H776" s="1"/>
      <c r="I776" s="1"/>
      <c r="J776" s="1"/>
      <c r="K776" s="1"/>
      <c r="L776" s="1"/>
      <c r="M776" s="1"/>
    </row>
    <row r="777" ht="15.75" customHeight="1" spans="1:13" x14ac:dyDescent="0.25">
      <c r="A777" s="1"/>
      <c r="B777" s="1"/>
      <c r="C777" s="1"/>
      <c r="D777" s="1"/>
      <c r="E777" s="1"/>
      <c r="F777" s="1"/>
      <c r="G777" s="1"/>
      <c r="H777" s="1"/>
      <c r="I777" s="1"/>
      <c r="J777" s="1"/>
      <c r="K777" s="1"/>
      <c r="L777" s="1"/>
      <c r="M777" s="1"/>
    </row>
    <row r="778" ht="15.75" customHeight="1" spans="1:13" x14ac:dyDescent="0.25">
      <c r="A778" s="1"/>
      <c r="B778" s="1"/>
      <c r="C778" s="1"/>
      <c r="D778" s="1"/>
      <c r="E778" s="1"/>
      <c r="F778" s="1"/>
      <c r="G778" s="1"/>
      <c r="H778" s="1"/>
      <c r="I778" s="1"/>
      <c r="J778" s="1"/>
      <c r="K778" s="1"/>
      <c r="L778" s="1"/>
      <c r="M778" s="1"/>
    </row>
    <row r="779" ht="15.75" customHeight="1" spans="1:13" x14ac:dyDescent="0.25">
      <c r="A779" s="1"/>
      <c r="B779" s="1"/>
      <c r="C779" s="1"/>
      <c r="D779" s="1"/>
      <c r="E779" s="1"/>
      <c r="F779" s="1"/>
      <c r="G779" s="1"/>
      <c r="H779" s="1"/>
      <c r="I779" s="1"/>
      <c r="J779" s="1"/>
      <c r="K779" s="1"/>
      <c r="L779" s="1"/>
      <c r="M779" s="1"/>
    </row>
    <row r="780" ht="15.75" customHeight="1" spans="1:13" x14ac:dyDescent="0.25">
      <c r="A780" s="1"/>
      <c r="B780" s="1"/>
      <c r="C780" s="1"/>
      <c r="D780" s="1"/>
      <c r="E780" s="1"/>
      <c r="F780" s="1"/>
      <c r="G780" s="1"/>
      <c r="H780" s="1"/>
      <c r="I780" s="1"/>
      <c r="J780" s="1"/>
      <c r="K780" s="1"/>
      <c r="L780" s="1"/>
      <c r="M780" s="1"/>
    </row>
    <row r="781" ht="15.75" customHeight="1" spans="1:13" x14ac:dyDescent="0.25">
      <c r="A781" s="1"/>
      <c r="B781" s="1"/>
      <c r="C781" s="1"/>
      <c r="D781" s="1"/>
      <c r="E781" s="1"/>
      <c r="F781" s="1"/>
      <c r="G781" s="1"/>
      <c r="H781" s="1"/>
      <c r="I781" s="1"/>
      <c r="J781" s="1"/>
      <c r="K781" s="1"/>
      <c r="L781" s="1"/>
      <c r="M781" s="1"/>
    </row>
    <row r="782" ht="15.75" customHeight="1" spans="1:13" x14ac:dyDescent="0.25">
      <c r="A782" s="1"/>
      <c r="B782" s="1"/>
      <c r="C782" s="1"/>
      <c r="D782" s="1"/>
      <c r="E782" s="1"/>
      <c r="F782" s="1"/>
      <c r="G782" s="1"/>
      <c r="H782" s="1"/>
      <c r="I782" s="1"/>
      <c r="J782" s="1"/>
      <c r="K782" s="1"/>
      <c r="L782" s="1"/>
      <c r="M782" s="1"/>
    </row>
    <row r="783" ht="15.75" customHeight="1" spans="1:13" x14ac:dyDescent="0.25">
      <c r="A783" s="1"/>
      <c r="B783" s="1"/>
      <c r="C783" s="1"/>
      <c r="D783" s="1"/>
      <c r="E783" s="1"/>
      <c r="F783" s="1"/>
      <c r="G783" s="1"/>
      <c r="H783" s="1"/>
      <c r="I783" s="1"/>
      <c r="J783" s="1"/>
      <c r="K783" s="1"/>
      <c r="L783" s="1"/>
      <c r="M783" s="1"/>
    </row>
    <row r="784" ht="15.75" customHeight="1" spans="1:13" x14ac:dyDescent="0.25">
      <c r="A784" s="1"/>
      <c r="B784" s="1"/>
      <c r="C784" s="1"/>
      <c r="D784" s="1"/>
      <c r="E784" s="1"/>
      <c r="F784" s="1"/>
      <c r="G784" s="1"/>
      <c r="H784" s="1"/>
      <c r="I784" s="1"/>
      <c r="J784" s="1"/>
      <c r="K784" s="1"/>
      <c r="L784" s="1"/>
      <c r="M784" s="1"/>
    </row>
    <row r="785" ht="15.75" customHeight="1" spans="1:13" x14ac:dyDescent="0.25">
      <c r="A785" s="1"/>
      <c r="B785" s="1"/>
      <c r="C785" s="1"/>
      <c r="D785" s="1"/>
      <c r="E785" s="1"/>
      <c r="F785" s="1"/>
      <c r="G785" s="1"/>
      <c r="H785" s="1"/>
      <c r="I785" s="1"/>
      <c r="J785" s="1"/>
      <c r="K785" s="1"/>
      <c r="L785" s="1"/>
      <c r="M785" s="1"/>
    </row>
    <row r="786" ht="15.75" customHeight="1" spans="1:13" x14ac:dyDescent="0.25">
      <c r="A786" s="1"/>
      <c r="B786" s="1"/>
      <c r="C786" s="1"/>
      <c r="D786" s="1"/>
      <c r="E786" s="1"/>
      <c r="F786" s="1"/>
      <c r="G786" s="1"/>
      <c r="H786" s="1"/>
      <c r="I786" s="1"/>
      <c r="J786" s="1"/>
      <c r="K786" s="1"/>
      <c r="L786" s="1"/>
      <c r="M786" s="1"/>
    </row>
    <row r="787" ht="15.75" customHeight="1" spans="1:13" x14ac:dyDescent="0.25">
      <c r="A787" s="1"/>
      <c r="B787" s="1"/>
      <c r="C787" s="1"/>
      <c r="D787" s="1"/>
      <c r="E787" s="1"/>
      <c r="F787" s="1"/>
      <c r="G787" s="1"/>
      <c r="H787" s="1"/>
      <c r="I787" s="1"/>
      <c r="J787" s="1"/>
      <c r="K787" s="1"/>
      <c r="L787" s="1"/>
      <c r="M787" s="1"/>
    </row>
    <row r="788" ht="15.75" customHeight="1" spans="1:13" x14ac:dyDescent="0.25">
      <c r="A788" s="1"/>
      <c r="B788" s="1"/>
      <c r="C788" s="1"/>
      <c r="D788" s="1"/>
      <c r="E788" s="1"/>
      <c r="F788" s="1"/>
      <c r="G788" s="1"/>
      <c r="H788" s="1"/>
      <c r="I788" s="1"/>
      <c r="J788" s="1"/>
      <c r="K788" s="1"/>
      <c r="L788" s="1"/>
      <c r="M788" s="1"/>
    </row>
    <row r="789" ht="15.75" customHeight="1" spans="1:13" x14ac:dyDescent="0.25">
      <c r="A789" s="1"/>
      <c r="B789" s="1"/>
      <c r="C789" s="1"/>
      <c r="D789" s="1"/>
      <c r="E789" s="1"/>
      <c r="F789" s="1"/>
      <c r="G789" s="1"/>
      <c r="H789" s="1"/>
      <c r="I789" s="1"/>
      <c r="J789" s="1"/>
      <c r="K789" s="1"/>
      <c r="L789" s="1"/>
      <c r="M789" s="1"/>
    </row>
    <row r="790" ht="15.75" customHeight="1" spans="1:13" x14ac:dyDescent="0.25">
      <c r="A790" s="1"/>
      <c r="B790" s="1"/>
      <c r="C790" s="1"/>
      <c r="D790" s="1"/>
      <c r="E790" s="1"/>
      <c r="F790" s="1"/>
      <c r="G790" s="1"/>
      <c r="H790" s="1"/>
      <c r="I790" s="1"/>
      <c r="J790" s="1"/>
      <c r="K790" s="1"/>
      <c r="L790" s="1"/>
      <c r="M790" s="1"/>
    </row>
    <row r="791" ht="15.75" customHeight="1" spans="1:13" x14ac:dyDescent="0.25">
      <c r="A791" s="1"/>
      <c r="B791" s="1"/>
      <c r="C791" s="1"/>
      <c r="D791" s="1"/>
      <c r="E791" s="1"/>
      <c r="F791" s="1"/>
      <c r="G791" s="1"/>
      <c r="H791" s="1"/>
      <c r="I791" s="1"/>
      <c r="J791" s="1"/>
      <c r="K791" s="1"/>
      <c r="L791" s="1"/>
      <c r="M791" s="1"/>
    </row>
    <row r="792" ht="15.75" customHeight="1" spans="1:13" x14ac:dyDescent="0.25">
      <c r="A792" s="1"/>
      <c r="B792" s="1"/>
      <c r="C792" s="1"/>
      <c r="D792" s="1"/>
      <c r="E792" s="1"/>
      <c r="F792" s="1"/>
      <c r="G792" s="1"/>
      <c r="H792" s="1"/>
      <c r="I792" s="1"/>
      <c r="J792" s="1"/>
      <c r="K792" s="1"/>
      <c r="L792" s="1"/>
      <c r="M792" s="1"/>
    </row>
    <row r="793" ht="15.75" customHeight="1" spans="1:13" x14ac:dyDescent="0.25">
      <c r="A793" s="1"/>
      <c r="B793" s="1"/>
      <c r="C793" s="1"/>
      <c r="D793" s="1"/>
      <c r="E793" s="1"/>
      <c r="F793" s="1"/>
      <c r="G793" s="1"/>
      <c r="H793" s="1"/>
      <c r="I793" s="1"/>
      <c r="J793" s="1"/>
      <c r="K793" s="1"/>
      <c r="L793" s="1"/>
      <c r="M793" s="1"/>
    </row>
    <row r="794" ht="15.75" customHeight="1" spans="1:13" x14ac:dyDescent="0.25">
      <c r="A794" s="1"/>
      <c r="B794" s="1"/>
      <c r="C794" s="1"/>
      <c r="D794" s="1"/>
      <c r="E794" s="1"/>
      <c r="F794" s="1"/>
      <c r="G794" s="1"/>
      <c r="H794" s="1"/>
      <c r="I794" s="1"/>
      <c r="J794" s="1"/>
      <c r="K794" s="1"/>
      <c r="L794" s="1"/>
      <c r="M794" s="1"/>
    </row>
    <row r="795" ht="15.75" customHeight="1" spans="1:13" x14ac:dyDescent="0.25">
      <c r="A795" s="1"/>
      <c r="B795" s="1"/>
      <c r="C795" s="1"/>
      <c r="D795" s="1"/>
      <c r="E795" s="1"/>
      <c r="F795" s="1"/>
      <c r="G795" s="1"/>
      <c r="H795" s="1"/>
      <c r="I795" s="1"/>
      <c r="J795" s="1"/>
      <c r="K795" s="1"/>
      <c r="L795" s="1"/>
      <c r="M795" s="1"/>
    </row>
    <row r="796" ht="15.75" customHeight="1" spans="1:13" x14ac:dyDescent="0.25">
      <c r="A796" s="1"/>
      <c r="B796" s="1"/>
      <c r="C796" s="1"/>
      <c r="D796" s="1"/>
      <c r="E796" s="1"/>
      <c r="F796" s="1"/>
      <c r="G796" s="1"/>
      <c r="H796" s="1"/>
      <c r="I796" s="1"/>
      <c r="J796" s="1"/>
      <c r="K796" s="1"/>
      <c r="L796" s="1"/>
      <c r="M796" s="1"/>
    </row>
    <row r="797" ht="15.75" customHeight="1" spans="1:13" x14ac:dyDescent="0.25">
      <c r="A797" s="1"/>
      <c r="B797" s="1"/>
      <c r="C797" s="1"/>
      <c r="D797" s="1"/>
      <c r="E797" s="1"/>
      <c r="F797" s="1"/>
      <c r="G797" s="1"/>
      <c r="H797" s="1"/>
      <c r="I797" s="1"/>
      <c r="J797" s="1"/>
      <c r="K797" s="1"/>
      <c r="L797" s="1"/>
      <c r="M797" s="1"/>
    </row>
    <row r="798" ht="15.75" customHeight="1" spans="1:13" x14ac:dyDescent="0.25">
      <c r="A798" s="1"/>
      <c r="B798" s="1"/>
      <c r="C798" s="1"/>
      <c r="D798" s="1"/>
      <c r="E798" s="1"/>
      <c r="F798" s="1"/>
      <c r="G798" s="1"/>
      <c r="H798" s="1"/>
      <c r="I798" s="1"/>
      <c r="J798" s="1"/>
      <c r="K798" s="1"/>
      <c r="L798" s="1"/>
      <c r="M798" s="1"/>
    </row>
    <row r="799" ht="15.75" customHeight="1" spans="1:13" x14ac:dyDescent="0.25">
      <c r="A799" s="1"/>
      <c r="B799" s="1"/>
      <c r="C799" s="1"/>
      <c r="D799" s="1"/>
      <c r="E799" s="1"/>
      <c r="F799" s="1"/>
      <c r="G799" s="1"/>
      <c r="H799" s="1"/>
      <c r="I799" s="1"/>
      <c r="J799" s="1"/>
      <c r="K799" s="1"/>
      <c r="L799" s="1"/>
      <c r="M799" s="1"/>
    </row>
    <row r="800" ht="15.75" customHeight="1" spans="1:13" x14ac:dyDescent="0.25">
      <c r="A800" s="1"/>
      <c r="B800" s="1"/>
      <c r="C800" s="1"/>
      <c r="D800" s="1"/>
      <c r="E800" s="1"/>
      <c r="F800" s="1"/>
      <c r="G800" s="1"/>
      <c r="H800" s="1"/>
      <c r="I800" s="1"/>
      <c r="J800" s="1"/>
      <c r="K800" s="1"/>
      <c r="L800" s="1"/>
      <c r="M800" s="1"/>
    </row>
    <row r="801" ht="15.75" customHeight="1" spans="1:13" x14ac:dyDescent="0.25">
      <c r="A801" s="1"/>
      <c r="B801" s="1"/>
      <c r="C801" s="1"/>
      <c r="D801" s="1"/>
      <c r="E801" s="1"/>
      <c r="F801" s="1"/>
      <c r="G801" s="1"/>
      <c r="H801" s="1"/>
      <c r="I801" s="1"/>
      <c r="J801" s="1"/>
      <c r="K801" s="1"/>
      <c r="L801" s="1"/>
      <c r="M801" s="1"/>
    </row>
    <row r="802" ht="15.75" customHeight="1" spans="1:13" x14ac:dyDescent="0.25">
      <c r="A802" s="1"/>
      <c r="B802" s="1"/>
      <c r="C802" s="1"/>
      <c r="D802" s="1"/>
      <c r="E802" s="1"/>
      <c r="F802" s="1"/>
      <c r="G802" s="1"/>
      <c r="H802" s="1"/>
      <c r="I802" s="1"/>
      <c r="J802" s="1"/>
      <c r="K802" s="1"/>
      <c r="L802" s="1"/>
      <c r="M802" s="1"/>
    </row>
    <row r="803" ht="15.75" customHeight="1" spans="1:13" x14ac:dyDescent="0.25">
      <c r="A803" s="1"/>
      <c r="B803" s="1"/>
      <c r="C803" s="1"/>
      <c r="D803" s="1"/>
      <c r="E803" s="1"/>
      <c r="F803" s="1"/>
      <c r="G803" s="1"/>
      <c r="H803" s="1"/>
      <c r="I803" s="1"/>
      <c r="J803" s="1"/>
      <c r="K803" s="1"/>
      <c r="L803" s="1"/>
      <c r="M803" s="1"/>
    </row>
    <row r="804" ht="15.75" customHeight="1" spans="1:13" x14ac:dyDescent="0.25">
      <c r="A804" s="1"/>
      <c r="B804" s="1"/>
      <c r="C804" s="1"/>
      <c r="D804" s="1"/>
      <c r="E804" s="1"/>
      <c r="F804" s="1"/>
      <c r="G804" s="1"/>
      <c r="H804" s="1"/>
      <c r="I804" s="1"/>
      <c r="J804" s="1"/>
      <c r="K804" s="1"/>
      <c r="L804" s="1"/>
      <c r="M804" s="1"/>
    </row>
    <row r="805" ht="15.75" customHeight="1" spans="1:13" x14ac:dyDescent="0.25">
      <c r="A805" s="1"/>
      <c r="B805" s="1"/>
      <c r="C805" s="1"/>
      <c r="D805" s="1"/>
      <c r="E805" s="1"/>
      <c r="F805" s="1"/>
      <c r="G805" s="1"/>
      <c r="H805" s="1"/>
      <c r="I805" s="1"/>
      <c r="J805" s="1"/>
      <c r="K805" s="1"/>
      <c r="L805" s="1"/>
      <c r="M805" s="1"/>
    </row>
    <row r="806" ht="15.75" customHeight="1" spans="1:13" x14ac:dyDescent="0.25">
      <c r="A806" s="1"/>
      <c r="B806" s="1"/>
      <c r="C806" s="1"/>
      <c r="D806" s="1"/>
      <c r="E806" s="1"/>
      <c r="F806" s="1"/>
      <c r="G806" s="1"/>
      <c r="H806" s="1"/>
      <c r="I806" s="1"/>
      <c r="J806" s="1"/>
      <c r="K806" s="1"/>
      <c r="L806" s="1"/>
      <c r="M806" s="1"/>
    </row>
    <row r="807" ht="15.75" customHeight="1" spans="1:13" x14ac:dyDescent="0.25">
      <c r="A807" s="1"/>
      <c r="B807" s="1"/>
      <c r="C807" s="1"/>
      <c r="D807" s="1"/>
      <c r="E807" s="1"/>
      <c r="F807" s="1"/>
      <c r="G807" s="1"/>
      <c r="H807" s="1"/>
      <c r="I807" s="1"/>
      <c r="J807" s="1"/>
      <c r="K807" s="1"/>
      <c r="L807" s="1"/>
      <c r="M807" s="1"/>
    </row>
    <row r="808" ht="15.75" customHeight="1" spans="1:13" x14ac:dyDescent="0.25">
      <c r="A808" s="1"/>
      <c r="B808" s="1"/>
      <c r="C808" s="1"/>
      <c r="D808" s="1"/>
      <c r="E808" s="1"/>
      <c r="F808" s="1"/>
      <c r="G808" s="1"/>
      <c r="H808" s="1"/>
      <c r="I808" s="1"/>
      <c r="J808" s="1"/>
      <c r="K808" s="1"/>
      <c r="L808" s="1"/>
      <c r="M808" s="1"/>
    </row>
    <row r="809" ht="15.75" customHeight="1" spans="1:13" x14ac:dyDescent="0.25">
      <c r="A809" s="1"/>
      <c r="B809" s="1"/>
      <c r="C809" s="1"/>
      <c r="D809" s="1"/>
      <c r="E809" s="1"/>
      <c r="F809" s="1"/>
      <c r="G809" s="1"/>
      <c r="H809" s="1"/>
      <c r="I809" s="1"/>
      <c r="J809" s="1"/>
      <c r="K809" s="1"/>
      <c r="L809" s="1"/>
      <c r="M809" s="1"/>
    </row>
    <row r="810" ht="15.75" customHeight="1" spans="1:13" x14ac:dyDescent="0.25">
      <c r="A810" s="1"/>
      <c r="B810" s="1"/>
      <c r="C810" s="1"/>
      <c r="D810" s="1"/>
      <c r="E810" s="1"/>
      <c r="F810" s="1"/>
      <c r="G810" s="1"/>
      <c r="H810" s="1"/>
      <c r="I810" s="1"/>
      <c r="J810" s="1"/>
      <c r="K810" s="1"/>
      <c r="L810" s="1"/>
      <c r="M810" s="1"/>
    </row>
    <row r="811" ht="15.75" customHeight="1" spans="1:13" x14ac:dyDescent="0.25">
      <c r="A811" s="1"/>
      <c r="B811" s="1"/>
      <c r="C811" s="1"/>
      <c r="D811" s="1"/>
      <c r="E811" s="1"/>
      <c r="F811" s="1"/>
      <c r="G811" s="1"/>
      <c r="H811" s="1"/>
      <c r="I811" s="1"/>
      <c r="J811" s="1"/>
      <c r="K811" s="1"/>
      <c r="L811" s="1"/>
      <c r="M811" s="1"/>
    </row>
    <row r="812" ht="15.75" customHeight="1" spans="1:13" x14ac:dyDescent="0.25">
      <c r="A812" s="1"/>
      <c r="B812" s="1"/>
      <c r="C812" s="1"/>
      <c r="D812" s="1"/>
      <c r="E812" s="1"/>
      <c r="F812" s="1"/>
      <c r="G812" s="1"/>
      <c r="H812" s="1"/>
      <c r="I812" s="1"/>
      <c r="J812" s="1"/>
      <c r="K812" s="1"/>
      <c r="L812" s="1"/>
      <c r="M812" s="1"/>
    </row>
    <row r="813" ht="15.75" customHeight="1" spans="1:13" x14ac:dyDescent="0.25">
      <c r="A813" s="1"/>
      <c r="B813" s="1"/>
      <c r="C813" s="1"/>
      <c r="D813" s="1"/>
      <c r="E813" s="1"/>
      <c r="F813" s="1"/>
      <c r="G813" s="1"/>
      <c r="H813" s="1"/>
      <c r="I813" s="1"/>
      <c r="J813" s="1"/>
      <c r="K813" s="1"/>
      <c r="L813" s="1"/>
      <c r="M813" s="1"/>
    </row>
    <row r="814" ht="15.75" customHeight="1" spans="1:13" x14ac:dyDescent="0.25">
      <c r="A814" s="1"/>
      <c r="B814" s="1"/>
      <c r="C814" s="1"/>
      <c r="D814" s="1"/>
      <c r="E814" s="1"/>
      <c r="F814" s="1"/>
      <c r="G814" s="1"/>
      <c r="H814" s="1"/>
      <c r="I814" s="1"/>
      <c r="J814" s="1"/>
      <c r="K814" s="1"/>
      <c r="L814" s="1"/>
      <c r="M814" s="1"/>
    </row>
    <row r="815" ht="15.75" customHeight="1" spans="1:13" x14ac:dyDescent="0.25">
      <c r="A815" s="1"/>
      <c r="B815" s="1"/>
      <c r="C815" s="1"/>
      <c r="D815" s="1"/>
      <c r="E815" s="1"/>
      <c r="F815" s="1"/>
      <c r="G815" s="1"/>
      <c r="H815" s="1"/>
      <c r="I815" s="1"/>
      <c r="J815" s="1"/>
      <c r="K815" s="1"/>
      <c r="L815" s="1"/>
      <c r="M815" s="1"/>
    </row>
    <row r="816" ht="15.75" customHeight="1" spans="1:13" x14ac:dyDescent="0.25">
      <c r="A816" s="1"/>
      <c r="B816" s="1"/>
      <c r="C816" s="1"/>
      <c r="D816" s="1"/>
      <c r="E816" s="1"/>
      <c r="F816" s="1"/>
      <c r="G816" s="1"/>
      <c r="H816" s="1"/>
      <c r="I816" s="1"/>
      <c r="J816" s="1"/>
      <c r="K816" s="1"/>
      <c r="L816" s="1"/>
      <c r="M816" s="1"/>
    </row>
    <row r="817" ht="15.75" customHeight="1" spans="1:13" x14ac:dyDescent="0.25">
      <c r="A817" s="1"/>
      <c r="B817" s="1"/>
      <c r="C817" s="1"/>
      <c r="D817" s="1"/>
      <c r="E817" s="1"/>
      <c r="F817" s="1"/>
      <c r="G817" s="1"/>
      <c r="H817" s="1"/>
      <c r="I817" s="1"/>
      <c r="J817" s="1"/>
      <c r="K817" s="1"/>
      <c r="L817" s="1"/>
      <c r="M817" s="1"/>
    </row>
    <row r="818" ht="15.75" customHeight="1" spans="1:13" x14ac:dyDescent="0.25">
      <c r="A818" s="1"/>
      <c r="B818" s="1"/>
      <c r="C818" s="1"/>
      <c r="D818" s="1"/>
      <c r="E818" s="1"/>
      <c r="F818" s="1"/>
      <c r="G818" s="1"/>
      <c r="H818" s="1"/>
      <c r="I818" s="1"/>
      <c r="J818" s="1"/>
      <c r="K818" s="1"/>
      <c r="L818" s="1"/>
      <c r="M818" s="1"/>
    </row>
    <row r="819" ht="15.75" customHeight="1" spans="1:13" x14ac:dyDescent="0.25">
      <c r="A819" s="1"/>
      <c r="B819" s="1"/>
      <c r="C819" s="1"/>
      <c r="D819" s="1"/>
      <c r="E819" s="1"/>
      <c r="F819" s="1"/>
      <c r="G819" s="1"/>
      <c r="H819" s="1"/>
      <c r="I819" s="1"/>
      <c r="J819" s="1"/>
      <c r="K819" s="1"/>
      <c r="L819" s="1"/>
      <c r="M819" s="1"/>
    </row>
    <row r="820" ht="15.75" customHeight="1" spans="1:13" x14ac:dyDescent="0.25">
      <c r="A820" s="1"/>
      <c r="B820" s="1"/>
      <c r="C820" s="1"/>
      <c r="D820" s="1"/>
      <c r="E820" s="1"/>
      <c r="F820" s="1"/>
      <c r="G820" s="1"/>
      <c r="H820" s="1"/>
      <c r="I820" s="1"/>
      <c r="J820" s="1"/>
      <c r="K820" s="1"/>
      <c r="L820" s="1"/>
      <c r="M820" s="1"/>
    </row>
    <row r="821" ht="15.75" customHeight="1" spans="1:13" x14ac:dyDescent="0.25">
      <c r="A821" s="1"/>
      <c r="B821" s="1"/>
      <c r="C821" s="1"/>
      <c r="D821" s="1"/>
      <c r="E821" s="1"/>
      <c r="F821" s="1"/>
      <c r="G821" s="1"/>
      <c r="H821" s="1"/>
      <c r="I821" s="1"/>
      <c r="J821" s="1"/>
      <c r="K821" s="1"/>
      <c r="L821" s="1"/>
      <c r="M821" s="1"/>
    </row>
    <row r="822" ht="15.75" customHeight="1" spans="1:13" x14ac:dyDescent="0.25">
      <c r="A822" s="1"/>
      <c r="B822" s="1"/>
      <c r="C822" s="1"/>
      <c r="D822" s="1"/>
      <c r="E822" s="1"/>
      <c r="F822" s="1"/>
      <c r="G822" s="1"/>
      <c r="H822" s="1"/>
      <c r="I822" s="1"/>
      <c r="J822" s="1"/>
      <c r="K822" s="1"/>
      <c r="L822" s="1"/>
      <c r="M822" s="1"/>
    </row>
    <row r="823" ht="15.75" customHeight="1" spans="1:13" x14ac:dyDescent="0.25">
      <c r="A823" s="1"/>
      <c r="B823" s="1"/>
      <c r="C823" s="1"/>
      <c r="D823" s="1"/>
      <c r="E823" s="1"/>
      <c r="F823" s="1"/>
      <c r="G823" s="1"/>
      <c r="H823" s="1"/>
      <c r="I823" s="1"/>
      <c r="J823" s="1"/>
      <c r="K823" s="1"/>
      <c r="L823" s="1"/>
      <c r="M823" s="1"/>
    </row>
    <row r="824" ht="15.75" customHeight="1" spans="1:13" x14ac:dyDescent="0.25">
      <c r="A824" s="1"/>
      <c r="B824" s="1"/>
      <c r="C824" s="1"/>
      <c r="D824" s="1"/>
      <c r="E824" s="1"/>
      <c r="F824" s="1"/>
      <c r="G824" s="1"/>
      <c r="H824" s="1"/>
      <c r="I824" s="1"/>
      <c r="J824" s="1"/>
      <c r="K824" s="1"/>
      <c r="L824" s="1"/>
      <c r="M824" s="1"/>
    </row>
    <row r="825" ht="15.75" customHeight="1" spans="1:13" x14ac:dyDescent="0.25">
      <c r="A825" s="1"/>
      <c r="B825" s="1"/>
      <c r="C825" s="1"/>
      <c r="D825" s="1"/>
      <c r="E825" s="1"/>
      <c r="F825" s="1"/>
      <c r="G825" s="1"/>
      <c r="H825" s="1"/>
      <c r="I825" s="1"/>
      <c r="J825" s="1"/>
      <c r="K825" s="1"/>
      <c r="L825" s="1"/>
      <c r="M825" s="1"/>
    </row>
    <row r="826" ht="15.75" customHeight="1" spans="1:13" x14ac:dyDescent="0.25">
      <c r="A826" s="1"/>
      <c r="B826" s="1"/>
      <c r="C826" s="1"/>
      <c r="D826" s="1"/>
      <c r="E826" s="1"/>
      <c r="F826" s="1"/>
      <c r="G826" s="1"/>
      <c r="H826" s="1"/>
      <c r="I826" s="1"/>
      <c r="J826" s="1"/>
      <c r="K826" s="1"/>
      <c r="L826" s="1"/>
      <c r="M826" s="1"/>
    </row>
    <row r="827" ht="15.75" customHeight="1" spans="1:13" x14ac:dyDescent="0.25">
      <c r="A827" s="1"/>
      <c r="B827" s="1"/>
      <c r="C827" s="1"/>
      <c r="D827" s="1"/>
      <c r="E827" s="1"/>
      <c r="F827" s="1"/>
      <c r="G827" s="1"/>
      <c r="H827" s="1"/>
      <c r="I827" s="1"/>
      <c r="J827" s="1"/>
      <c r="K827" s="1"/>
      <c r="L827" s="1"/>
      <c r="M827" s="1"/>
    </row>
    <row r="828" ht="15.75" customHeight="1" spans="1:13" x14ac:dyDescent="0.25">
      <c r="A828" s="1"/>
      <c r="B828" s="1"/>
      <c r="C828" s="1"/>
      <c r="D828" s="1"/>
      <c r="E828" s="1"/>
      <c r="F828" s="1"/>
      <c r="G828" s="1"/>
      <c r="H828" s="1"/>
      <c r="I828" s="1"/>
      <c r="J828" s="1"/>
      <c r="K828" s="1"/>
      <c r="L828" s="1"/>
      <c r="M828" s="1"/>
    </row>
    <row r="829" ht="15.75" customHeight="1" spans="1:13" x14ac:dyDescent="0.25">
      <c r="A829" s="1"/>
      <c r="B829" s="1"/>
      <c r="C829" s="1"/>
      <c r="D829" s="1"/>
      <c r="E829" s="1"/>
      <c r="F829" s="1"/>
      <c r="G829" s="1"/>
      <c r="H829" s="1"/>
      <c r="I829" s="1"/>
      <c r="J829" s="1"/>
      <c r="K829" s="1"/>
      <c r="L829" s="1"/>
      <c r="M829" s="1"/>
    </row>
    <row r="830" ht="15.75" customHeight="1" spans="1:13" x14ac:dyDescent="0.25">
      <c r="A830" s="1"/>
      <c r="B830" s="1"/>
      <c r="C830" s="1"/>
      <c r="D830" s="1"/>
      <c r="E830" s="1"/>
      <c r="F830" s="1"/>
      <c r="G830" s="1"/>
      <c r="H830" s="1"/>
      <c r="I830" s="1"/>
      <c r="J830" s="1"/>
      <c r="K830" s="1"/>
      <c r="L830" s="1"/>
      <c r="M830" s="1"/>
    </row>
    <row r="831" ht="15.75" customHeight="1" spans="1:13" x14ac:dyDescent="0.25">
      <c r="A831" s="1"/>
      <c r="B831" s="1"/>
      <c r="C831" s="1"/>
      <c r="D831" s="1"/>
      <c r="E831" s="1"/>
      <c r="F831" s="1"/>
      <c r="G831" s="1"/>
      <c r="H831" s="1"/>
      <c r="I831" s="1"/>
      <c r="J831" s="1"/>
      <c r="K831" s="1"/>
      <c r="L831" s="1"/>
      <c r="M831" s="1"/>
    </row>
    <row r="832" ht="15.75" customHeight="1" spans="1:13" x14ac:dyDescent="0.25">
      <c r="A832" s="1"/>
      <c r="B832" s="1"/>
      <c r="C832" s="1"/>
      <c r="D832" s="1"/>
      <c r="E832" s="1"/>
      <c r="F832" s="1"/>
      <c r="G832" s="1"/>
      <c r="H832" s="1"/>
      <c r="I832" s="1"/>
      <c r="J832" s="1"/>
      <c r="K832" s="1"/>
      <c r="L832" s="1"/>
      <c r="M832" s="1"/>
    </row>
    <row r="833" ht="15.75" customHeight="1" spans="1:13" x14ac:dyDescent="0.25">
      <c r="A833" s="1"/>
      <c r="B833" s="1"/>
      <c r="C833" s="1"/>
      <c r="D833" s="1"/>
      <c r="E833" s="1"/>
      <c r="F833" s="1"/>
      <c r="G833" s="1"/>
      <c r="H833" s="1"/>
      <c r="I833" s="1"/>
      <c r="J833" s="1"/>
      <c r="K833" s="1"/>
      <c r="L833" s="1"/>
      <c r="M833" s="1"/>
    </row>
    <row r="834" ht="15.75" customHeight="1" spans="1:13" x14ac:dyDescent="0.25">
      <c r="A834" s="1"/>
      <c r="B834" s="1"/>
      <c r="C834" s="1"/>
      <c r="D834" s="1"/>
      <c r="E834" s="1"/>
      <c r="F834" s="1"/>
      <c r="G834" s="1"/>
      <c r="H834" s="1"/>
      <c r="I834" s="1"/>
      <c r="J834" s="1"/>
      <c r="K834" s="1"/>
      <c r="L834" s="1"/>
      <c r="M834" s="1"/>
    </row>
    <row r="835" ht="15.75" customHeight="1" spans="1:13" x14ac:dyDescent="0.25">
      <c r="A835" s="1"/>
      <c r="B835" s="1"/>
      <c r="C835" s="1"/>
      <c r="D835" s="1"/>
      <c r="E835" s="1"/>
      <c r="F835" s="1"/>
      <c r="G835" s="1"/>
      <c r="H835" s="1"/>
      <c r="I835" s="1"/>
      <c r="J835" s="1"/>
      <c r="K835" s="1"/>
      <c r="L835" s="1"/>
      <c r="M835" s="1"/>
    </row>
    <row r="836" ht="15.75" customHeight="1" spans="1:13" x14ac:dyDescent="0.25">
      <c r="A836" s="1"/>
      <c r="B836" s="1"/>
      <c r="C836" s="1"/>
      <c r="D836" s="1"/>
      <c r="E836" s="1"/>
      <c r="F836" s="1"/>
      <c r="G836" s="1"/>
      <c r="H836" s="1"/>
      <c r="I836" s="1"/>
      <c r="J836" s="1"/>
      <c r="K836" s="1"/>
      <c r="L836" s="1"/>
      <c r="M836" s="1"/>
    </row>
    <row r="837" ht="15.75" customHeight="1" spans="1:13" x14ac:dyDescent="0.25">
      <c r="A837" s="1"/>
      <c r="B837" s="1"/>
      <c r="C837" s="1"/>
      <c r="D837" s="1"/>
      <c r="E837" s="1"/>
      <c r="F837" s="1"/>
      <c r="G837" s="1"/>
      <c r="H837" s="1"/>
      <c r="I837" s="1"/>
      <c r="J837" s="1"/>
      <c r="K837" s="1"/>
      <c r="L837" s="1"/>
      <c r="M837" s="1"/>
    </row>
    <row r="838" ht="15.75" customHeight="1" spans="1:13" x14ac:dyDescent="0.25">
      <c r="A838" s="1"/>
      <c r="B838" s="1"/>
      <c r="C838" s="1"/>
      <c r="D838" s="1"/>
      <c r="E838" s="1"/>
      <c r="F838" s="1"/>
      <c r="G838" s="1"/>
      <c r="H838" s="1"/>
      <c r="I838" s="1"/>
      <c r="J838" s="1"/>
      <c r="K838" s="1"/>
      <c r="L838" s="1"/>
      <c r="M838" s="1"/>
    </row>
    <row r="839" ht="15.75" customHeight="1" spans="1:13" x14ac:dyDescent="0.25">
      <c r="A839" s="1"/>
      <c r="B839" s="1"/>
      <c r="C839" s="1"/>
      <c r="D839" s="1"/>
      <c r="E839" s="1"/>
      <c r="F839" s="1"/>
      <c r="G839" s="1"/>
      <c r="H839" s="1"/>
      <c r="I839" s="1"/>
      <c r="J839" s="1"/>
      <c r="K839" s="1"/>
      <c r="L839" s="1"/>
      <c r="M839" s="1"/>
    </row>
    <row r="840" ht="15.75" customHeight="1" spans="1:13" x14ac:dyDescent="0.25">
      <c r="A840" s="1"/>
      <c r="B840" s="1"/>
      <c r="C840" s="1"/>
      <c r="D840" s="1"/>
      <c r="E840" s="1"/>
      <c r="F840" s="1"/>
      <c r="G840" s="1"/>
      <c r="H840" s="1"/>
      <c r="I840" s="1"/>
      <c r="J840" s="1"/>
      <c r="K840" s="1"/>
      <c r="L840" s="1"/>
      <c r="M840" s="1"/>
    </row>
    <row r="841" ht="15.75" customHeight="1" spans="1:13" x14ac:dyDescent="0.25">
      <c r="A841" s="1"/>
      <c r="B841" s="1"/>
      <c r="C841" s="1"/>
      <c r="D841" s="1"/>
      <c r="E841" s="1"/>
      <c r="F841" s="1"/>
      <c r="G841" s="1"/>
      <c r="H841" s="1"/>
      <c r="I841" s="1"/>
      <c r="J841" s="1"/>
      <c r="K841" s="1"/>
      <c r="L841" s="1"/>
      <c r="M841" s="1"/>
    </row>
    <row r="842" ht="15.75" customHeight="1" spans="1:13" x14ac:dyDescent="0.25">
      <c r="A842" s="1"/>
      <c r="B842" s="1"/>
      <c r="C842" s="1"/>
      <c r="D842" s="1"/>
      <c r="E842" s="1"/>
      <c r="F842" s="1"/>
      <c r="G842" s="1"/>
      <c r="H842" s="1"/>
      <c r="I842" s="1"/>
      <c r="J842" s="1"/>
      <c r="K842" s="1"/>
      <c r="L842" s="1"/>
      <c r="M842" s="1"/>
    </row>
    <row r="843" ht="15.75" customHeight="1" spans="1:13" x14ac:dyDescent="0.25">
      <c r="A843" s="1"/>
      <c r="B843" s="1"/>
      <c r="C843" s="1"/>
      <c r="D843" s="1"/>
      <c r="E843" s="1"/>
      <c r="F843" s="1"/>
      <c r="G843" s="1"/>
      <c r="H843" s="1"/>
      <c r="I843" s="1"/>
      <c r="J843" s="1"/>
      <c r="K843" s="1"/>
      <c r="L843" s="1"/>
      <c r="M843" s="1"/>
    </row>
    <row r="844" ht="15.75" customHeight="1" spans="1:13" x14ac:dyDescent="0.25">
      <c r="A844" s="1"/>
      <c r="B844" s="1"/>
      <c r="C844" s="1"/>
      <c r="D844" s="1"/>
      <c r="E844" s="1"/>
      <c r="F844" s="1"/>
      <c r="G844" s="1"/>
      <c r="H844" s="1"/>
      <c r="I844" s="1"/>
      <c r="J844" s="1"/>
      <c r="K844" s="1"/>
      <c r="L844" s="1"/>
      <c r="M844" s="1"/>
    </row>
    <row r="845" ht="15.75" customHeight="1" spans="1:13" x14ac:dyDescent="0.25">
      <c r="A845" s="1"/>
      <c r="B845" s="1"/>
      <c r="C845" s="1"/>
      <c r="D845" s="1"/>
      <c r="E845" s="1"/>
      <c r="F845" s="1"/>
      <c r="G845" s="1"/>
      <c r="H845" s="1"/>
      <c r="I845" s="1"/>
      <c r="J845" s="1"/>
      <c r="K845" s="1"/>
      <c r="L845" s="1"/>
      <c r="M845" s="1"/>
    </row>
    <row r="846" ht="15.75" customHeight="1" spans="1:13" x14ac:dyDescent="0.25">
      <c r="A846" s="1"/>
      <c r="B846" s="1"/>
      <c r="C846" s="1"/>
      <c r="D846" s="1"/>
      <c r="E846" s="1"/>
      <c r="F846" s="1"/>
      <c r="G846" s="1"/>
      <c r="H846" s="1"/>
      <c r="I846" s="1"/>
      <c r="J846" s="1"/>
      <c r="K846" s="1"/>
      <c r="L846" s="1"/>
      <c r="M846" s="1"/>
    </row>
    <row r="847" ht="15.75" customHeight="1" spans="1:13" x14ac:dyDescent="0.25">
      <c r="A847" s="1"/>
      <c r="B847" s="1"/>
      <c r="C847" s="1"/>
      <c r="D847" s="1"/>
      <c r="E847" s="1"/>
      <c r="F847" s="1"/>
      <c r="G847" s="1"/>
      <c r="H847" s="1"/>
      <c r="I847" s="1"/>
      <c r="J847" s="1"/>
      <c r="K847" s="1"/>
      <c r="L847" s="1"/>
      <c r="M847" s="1"/>
    </row>
    <row r="848" ht="15.75" customHeight="1" spans="1:13" x14ac:dyDescent="0.25">
      <c r="A848" s="1"/>
      <c r="B848" s="1"/>
      <c r="C848" s="1"/>
      <c r="D848" s="1"/>
      <c r="E848" s="1"/>
      <c r="F848" s="1"/>
      <c r="G848" s="1"/>
      <c r="H848" s="1"/>
      <c r="I848" s="1"/>
      <c r="J848" s="1"/>
      <c r="K848" s="1"/>
      <c r="L848" s="1"/>
      <c r="M848" s="1"/>
    </row>
    <row r="849" ht="15.75" customHeight="1" spans="1:13" x14ac:dyDescent="0.25">
      <c r="A849" s="1"/>
      <c r="B849" s="1"/>
      <c r="C849" s="1"/>
      <c r="D849" s="1"/>
      <c r="E849" s="1"/>
      <c r="F849" s="1"/>
      <c r="G849" s="1"/>
      <c r="H849" s="1"/>
      <c r="I849" s="1"/>
      <c r="J849" s="1"/>
      <c r="K849" s="1"/>
      <c r="L849" s="1"/>
      <c r="M849" s="1"/>
    </row>
    <row r="850" ht="15.75" customHeight="1" spans="1:13" x14ac:dyDescent="0.25">
      <c r="A850" s="1"/>
      <c r="B850" s="1"/>
      <c r="C850" s="1"/>
      <c r="D850" s="1"/>
      <c r="E850" s="1"/>
      <c r="F850" s="1"/>
      <c r="G850" s="1"/>
      <c r="H850" s="1"/>
      <c r="I850" s="1"/>
      <c r="J850" s="1"/>
      <c r="K850" s="1"/>
      <c r="L850" s="1"/>
      <c r="M850" s="1"/>
    </row>
    <row r="851" ht="15.75" customHeight="1" spans="1:13" x14ac:dyDescent="0.25">
      <c r="A851" s="1"/>
      <c r="B851" s="1"/>
      <c r="C851" s="1"/>
      <c r="D851" s="1"/>
      <c r="E851" s="1"/>
      <c r="F851" s="1"/>
      <c r="G851" s="1"/>
      <c r="H851" s="1"/>
      <c r="I851" s="1"/>
      <c r="J851" s="1"/>
      <c r="K851" s="1"/>
      <c r="L851" s="1"/>
      <c r="M851" s="1"/>
    </row>
    <row r="852" ht="15.75" customHeight="1" spans="1:13" x14ac:dyDescent="0.25">
      <c r="A852" s="1"/>
      <c r="B852" s="1"/>
      <c r="C852" s="1"/>
      <c r="D852" s="1"/>
      <c r="E852" s="1"/>
      <c r="F852" s="1"/>
      <c r="G852" s="1"/>
      <c r="H852" s="1"/>
      <c r="I852" s="1"/>
      <c r="J852" s="1"/>
      <c r="K852" s="1"/>
      <c r="L852" s="1"/>
      <c r="M852" s="1"/>
    </row>
    <row r="853" ht="15.75" customHeight="1" spans="1:13" x14ac:dyDescent="0.25">
      <c r="A853" s="1"/>
      <c r="B853" s="1"/>
      <c r="C853" s="1"/>
      <c r="D853" s="1"/>
      <c r="E853" s="1"/>
      <c r="F853" s="1"/>
      <c r="G853" s="1"/>
      <c r="H853" s="1"/>
      <c r="I853" s="1"/>
      <c r="J853" s="1"/>
      <c r="K853" s="1"/>
      <c r="L853" s="1"/>
      <c r="M853" s="1"/>
    </row>
    <row r="854" ht="15.75" customHeight="1" spans="1:13" x14ac:dyDescent="0.25">
      <c r="A854" s="1"/>
      <c r="B854" s="1"/>
      <c r="C854" s="1"/>
      <c r="D854" s="1"/>
      <c r="E854" s="1"/>
      <c r="F854" s="1"/>
      <c r="G854" s="1"/>
      <c r="H854" s="1"/>
      <c r="I854" s="1"/>
      <c r="J854" s="1"/>
      <c r="K854" s="1"/>
      <c r="L854" s="1"/>
      <c r="M854" s="1"/>
    </row>
    <row r="855" ht="15.75" customHeight="1" spans="1:13" x14ac:dyDescent="0.25">
      <c r="A855" s="1"/>
      <c r="B855" s="1"/>
      <c r="C855" s="1"/>
      <c r="D855" s="1"/>
      <c r="E855" s="1"/>
      <c r="F855" s="1"/>
      <c r="G855" s="1"/>
      <c r="H855" s="1"/>
      <c r="I855" s="1"/>
      <c r="J855" s="1"/>
      <c r="K855" s="1"/>
      <c r="L855" s="1"/>
      <c r="M855" s="1"/>
    </row>
    <row r="856" ht="15.75" customHeight="1" spans="1:13" x14ac:dyDescent="0.25">
      <c r="A856" s="1"/>
      <c r="B856" s="1"/>
      <c r="C856" s="1"/>
      <c r="D856" s="1"/>
      <c r="E856" s="1"/>
      <c r="F856" s="1"/>
      <c r="G856" s="1"/>
      <c r="H856" s="1"/>
      <c r="I856" s="1"/>
      <c r="J856" s="1"/>
      <c r="K856" s="1"/>
      <c r="L856" s="1"/>
      <c r="M856" s="1"/>
    </row>
    <row r="857" ht="15.75" customHeight="1" spans="1:13" x14ac:dyDescent="0.25">
      <c r="A857" s="1"/>
      <c r="B857" s="1"/>
      <c r="C857" s="1"/>
      <c r="D857" s="1"/>
      <c r="E857" s="1"/>
      <c r="F857" s="1"/>
      <c r="G857" s="1"/>
      <c r="H857" s="1"/>
      <c r="I857" s="1"/>
      <c r="J857" s="1"/>
      <c r="K857" s="1"/>
      <c r="L857" s="1"/>
      <c r="M857" s="1"/>
    </row>
    <row r="858" ht="15.75" customHeight="1" spans="1:13" x14ac:dyDescent="0.25">
      <c r="A858" s="1"/>
      <c r="B858" s="1"/>
      <c r="C858" s="1"/>
      <c r="D858" s="1"/>
      <c r="E858" s="1"/>
      <c r="F858" s="1"/>
      <c r="G858" s="1"/>
      <c r="H858" s="1"/>
      <c r="I858" s="1"/>
      <c r="J858" s="1"/>
      <c r="K858" s="1"/>
      <c r="L858" s="1"/>
      <c r="M858" s="1"/>
    </row>
    <row r="859" ht="15.75" customHeight="1" spans="1:13" x14ac:dyDescent="0.25">
      <c r="A859" s="1"/>
      <c r="B859" s="1"/>
      <c r="C859" s="1"/>
      <c r="D859" s="1"/>
      <c r="E859" s="1"/>
      <c r="F859" s="1"/>
      <c r="G859" s="1"/>
      <c r="H859" s="1"/>
      <c r="I859" s="1"/>
      <c r="J859" s="1"/>
      <c r="K859" s="1"/>
      <c r="L859" s="1"/>
      <c r="M859" s="1"/>
    </row>
    <row r="860" ht="15.75" customHeight="1" spans="1:13" x14ac:dyDescent="0.25">
      <c r="A860" s="1"/>
      <c r="B860" s="1"/>
      <c r="C860" s="1"/>
      <c r="D860" s="1"/>
      <c r="E860" s="1"/>
      <c r="F860" s="1"/>
      <c r="G860" s="1"/>
      <c r="H860" s="1"/>
      <c r="I860" s="1"/>
      <c r="J860" s="1"/>
      <c r="K860" s="1"/>
      <c r="L860" s="1"/>
      <c r="M860" s="1"/>
    </row>
    <row r="861" ht="15.75" customHeight="1" spans="1:13" x14ac:dyDescent="0.25">
      <c r="A861" s="1"/>
      <c r="B861" s="1"/>
      <c r="C861" s="1"/>
      <c r="D861" s="1"/>
      <c r="E861" s="1"/>
      <c r="F861" s="1"/>
      <c r="G861" s="1"/>
      <c r="H861" s="1"/>
      <c r="I861" s="1"/>
      <c r="J861" s="1"/>
      <c r="K861" s="1"/>
      <c r="L861" s="1"/>
      <c r="M861" s="1"/>
    </row>
    <row r="862" ht="15.75" customHeight="1" spans="1:13" x14ac:dyDescent="0.25">
      <c r="A862" s="1"/>
      <c r="B862" s="1"/>
      <c r="C862" s="1"/>
      <c r="D862" s="1"/>
      <c r="E862" s="1"/>
      <c r="F862" s="1"/>
      <c r="G862" s="1"/>
      <c r="H862" s="1"/>
      <c r="I862" s="1"/>
      <c r="J862" s="1"/>
      <c r="K862" s="1"/>
      <c r="L862" s="1"/>
      <c r="M862" s="1"/>
    </row>
    <row r="863" ht="15.75" customHeight="1" spans="1:13" x14ac:dyDescent="0.25">
      <c r="A863" s="1"/>
      <c r="B863" s="1"/>
      <c r="C863" s="1"/>
      <c r="D863" s="1"/>
      <c r="E863" s="1"/>
      <c r="F863" s="1"/>
      <c r="G863" s="1"/>
      <c r="H863" s="1"/>
      <c r="I863" s="1"/>
      <c r="J863" s="1"/>
      <c r="K863" s="1"/>
      <c r="L863" s="1"/>
      <c r="M863" s="1"/>
    </row>
    <row r="864" ht="15.75" customHeight="1" spans="1:13" x14ac:dyDescent="0.25">
      <c r="A864" s="1"/>
      <c r="B864" s="1"/>
      <c r="C864" s="1"/>
      <c r="D864" s="1"/>
      <c r="E864" s="1"/>
      <c r="F864" s="1"/>
      <c r="G864" s="1"/>
      <c r="H864" s="1"/>
      <c r="I864" s="1"/>
      <c r="J864" s="1"/>
      <c r="K864" s="1"/>
      <c r="L864" s="1"/>
      <c r="M864" s="1"/>
    </row>
    <row r="865" ht="15.75" customHeight="1" spans="1:13" x14ac:dyDescent="0.25">
      <c r="A865" s="1"/>
      <c r="B865" s="1"/>
      <c r="C865" s="1"/>
      <c r="D865" s="1"/>
      <c r="E865" s="1"/>
      <c r="F865" s="1"/>
      <c r="G865" s="1"/>
      <c r="H865" s="1"/>
      <c r="I865" s="1"/>
      <c r="J865" s="1"/>
      <c r="K865" s="1"/>
      <c r="L865" s="1"/>
      <c r="M865" s="1"/>
    </row>
    <row r="866" ht="15.75" customHeight="1" spans="1:13" x14ac:dyDescent="0.25">
      <c r="A866" s="1"/>
      <c r="B866" s="1"/>
      <c r="C866" s="1"/>
      <c r="D866" s="1"/>
      <c r="E866" s="1"/>
      <c r="F866" s="1"/>
      <c r="G866" s="1"/>
      <c r="H866" s="1"/>
      <c r="I866" s="1"/>
      <c r="J866" s="1"/>
      <c r="K866" s="1"/>
      <c r="L866" s="1"/>
      <c r="M866" s="1"/>
    </row>
    <row r="867" ht="15.75" customHeight="1" spans="1:13" x14ac:dyDescent="0.25">
      <c r="A867" s="1"/>
      <c r="B867" s="1"/>
      <c r="C867" s="1"/>
      <c r="D867" s="1"/>
      <c r="E867" s="1"/>
      <c r="F867" s="1"/>
      <c r="G867" s="1"/>
      <c r="H867" s="1"/>
      <c r="I867" s="1"/>
      <c r="J867" s="1"/>
      <c r="K867" s="1"/>
      <c r="L867" s="1"/>
      <c r="M867" s="1"/>
    </row>
    <row r="868" ht="15.75" customHeight="1" spans="1:13" x14ac:dyDescent="0.25">
      <c r="A868" s="1"/>
      <c r="B868" s="1"/>
      <c r="C868" s="1"/>
      <c r="D868" s="1"/>
      <c r="E868" s="1"/>
      <c r="F868" s="1"/>
      <c r="G868" s="1"/>
      <c r="H868" s="1"/>
      <c r="I868" s="1"/>
      <c r="J868" s="1"/>
      <c r="K868" s="1"/>
      <c r="L868" s="1"/>
      <c r="M868" s="1"/>
    </row>
    <row r="869" ht="15.75" customHeight="1" spans="1:13" x14ac:dyDescent="0.25">
      <c r="A869" s="1"/>
      <c r="B869" s="1"/>
      <c r="C869" s="1"/>
      <c r="D869" s="1"/>
      <c r="E869" s="1"/>
      <c r="F869" s="1"/>
      <c r="G869" s="1"/>
      <c r="H869" s="1"/>
      <c r="I869" s="1"/>
      <c r="J869" s="1"/>
      <c r="K869" s="1"/>
      <c r="L869" s="1"/>
      <c r="M869" s="1"/>
    </row>
    <row r="870" ht="15.75" customHeight="1" spans="1:13" x14ac:dyDescent="0.25">
      <c r="A870" s="1"/>
      <c r="B870" s="1"/>
      <c r="C870" s="1"/>
      <c r="D870" s="1"/>
      <c r="E870" s="1"/>
      <c r="F870" s="1"/>
      <c r="G870" s="1"/>
      <c r="H870" s="1"/>
      <c r="I870" s="1"/>
      <c r="J870" s="1"/>
      <c r="K870" s="1"/>
      <c r="L870" s="1"/>
      <c r="M870" s="1"/>
    </row>
    <row r="871" ht="15.75" customHeight="1" spans="1:13" x14ac:dyDescent="0.25">
      <c r="A871" s="1"/>
      <c r="B871" s="1"/>
      <c r="C871" s="1"/>
      <c r="D871" s="1"/>
      <c r="E871" s="1"/>
      <c r="F871" s="1"/>
      <c r="G871" s="1"/>
      <c r="H871" s="1"/>
      <c r="I871" s="1"/>
      <c r="J871" s="1"/>
      <c r="K871" s="1"/>
      <c r="L871" s="1"/>
      <c r="M871" s="1"/>
    </row>
    <row r="872" ht="15.75" customHeight="1" spans="1:13" x14ac:dyDescent="0.25">
      <c r="A872" s="1"/>
      <c r="B872" s="1"/>
      <c r="C872" s="1"/>
      <c r="D872" s="1"/>
      <c r="E872" s="1"/>
      <c r="F872" s="1"/>
      <c r="G872" s="1"/>
      <c r="H872" s="1"/>
      <c r="I872" s="1"/>
      <c r="J872" s="1"/>
      <c r="K872" s="1"/>
      <c r="L872" s="1"/>
      <c r="M872" s="1"/>
    </row>
    <row r="873" ht="15.75" customHeight="1" spans="1:13" x14ac:dyDescent="0.25">
      <c r="A873" s="1"/>
      <c r="B873" s="1"/>
      <c r="C873" s="1"/>
      <c r="D873" s="1"/>
      <c r="E873" s="1"/>
      <c r="F873" s="1"/>
      <c r="G873" s="1"/>
      <c r="H873" s="1"/>
      <c r="I873" s="1"/>
      <c r="J873" s="1"/>
      <c r="K873" s="1"/>
      <c r="L873" s="1"/>
      <c r="M873" s="1"/>
    </row>
    <row r="874" ht="15.75" customHeight="1" spans="1:13" x14ac:dyDescent="0.25">
      <c r="A874" s="1"/>
      <c r="B874" s="1"/>
      <c r="C874" s="1"/>
      <c r="D874" s="1"/>
      <c r="E874" s="1"/>
      <c r="F874" s="1"/>
      <c r="G874" s="1"/>
      <c r="H874" s="1"/>
      <c r="I874" s="1"/>
      <c r="J874" s="1"/>
      <c r="K874" s="1"/>
      <c r="L874" s="1"/>
      <c r="M874" s="1"/>
    </row>
    <row r="875" ht="15.75" customHeight="1" spans="1:13" x14ac:dyDescent="0.25">
      <c r="A875" s="1"/>
      <c r="B875" s="1"/>
      <c r="C875" s="1"/>
      <c r="D875" s="1"/>
      <c r="E875" s="1"/>
      <c r="F875" s="1"/>
      <c r="G875" s="1"/>
      <c r="H875" s="1"/>
      <c r="I875" s="1"/>
      <c r="J875" s="1"/>
      <c r="K875" s="1"/>
      <c r="L875" s="1"/>
      <c r="M875" s="1"/>
    </row>
    <row r="876" ht="15.75" customHeight="1" spans="1:13" x14ac:dyDescent="0.25">
      <c r="A876" s="1"/>
      <c r="B876" s="1"/>
      <c r="C876" s="1"/>
      <c r="D876" s="1"/>
      <c r="E876" s="1"/>
      <c r="F876" s="1"/>
      <c r="G876" s="1"/>
      <c r="H876" s="1"/>
      <c r="I876" s="1"/>
      <c r="J876" s="1"/>
      <c r="K876" s="1"/>
      <c r="L876" s="1"/>
      <c r="M876" s="1"/>
    </row>
    <row r="877" ht="15.75" customHeight="1" spans="1:13" x14ac:dyDescent="0.25">
      <c r="A877" s="1"/>
      <c r="B877" s="1"/>
      <c r="C877" s="1"/>
      <c r="D877" s="1"/>
      <c r="E877" s="1"/>
      <c r="F877" s="1"/>
      <c r="G877" s="1"/>
      <c r="H877" s="1"/>
      <c r="I877" s="1"/>
      <c r="J877" s="1"/>
      <c r="K877" s="1"/>
      <c r="L877" s="1"/>
      <c r="M877" s="1"/>
    </row>
    <row r="878" ht="15.75" customHeight="1" spans="1:13" x14ac:dyDescent="0.25">
      <c r="A878" s="1"/>
      <c r="B878" s="1"/>
      <c r="C878" s="1"/>
      <c r="D878" s="1"/>
      <c r="E878" s="1"/>
      <c r="F878" s="1"/>
      <c r="G878" s="1"/>
      <c r="H878" s="1"/>
      <c r="I878" s="1"/>
      <c r="J878" s="1"/>
      <c r="K878" s="1"/>
      <c r="L878" s="1"/>
      <c r="M878" s="1"/>
    </row>
    <row r="879" ht="15.75" customHeight="1" spans="1:13" x14ac:dyDescent="0.25">
      <c r="A879" s="1"/>
      <c r="B879" s="1"/>
      <c r="C879" s="1"/>
      <c r="D879" s="1"/>
      <c r="E879" s="1"/>
      <c r="F879" s="1"/>
      <c r="G879" s="1"/>
      <c r="H879" s="1"/>
      <c r="I879" s="1"/>
      <c r="J879" s="1"/>
      <c r="K879" s="1"/>
      <c r="L879" s="1"/>
      <c r="M879" s="1"/>
    </row>
    <row r="880" ht="15.75" customHeight="1" spans="1:13" x14ac:dyDescent="0.25">
      <c r="A880" s="1"/>
      <c r="B880" s="1"/>
      <c r="C880" s="1"/>
      <c r="D880" s="1"/>
      <c r="E880" s="1"/>
      <c r="F880" s="1"/>
      <c r="G880" s="1"/>
      <c r="H880" s="1"/>
      <c r="I880" s="1"/>
      <c r="J880" s="1"/>
      <c r="K880" s="1"/>
      <c r="L880" s="1"/>
      <c r="M880" s="1"/>
    </row>
    <row r="881" ht="15.75" customHeight="1" spans="1:13" x14ac:dyDescent="0.25">
      <c r="A881" s="1"/>
      <c r="B881" s="1"/>
      <c r="C881" s="1"/>
      <c r="D881" s="1"/>
      <c r="E881" s="1"/>
      <c r="F881" s="1"/>
      <c r="G881" s="1"/>
      <c r="H881" s="1"/>
      <c r="I881" s="1"/>
      <c r="J881" s="1"/>
      <c r="K881" s="1"/>
      <c r="L881" s="1"/>
      <c r="M881" s="1"/>
    </row>
    <row r="882" ht="15.75" customHeight="1" spans="1:13" x14ac:dyDescent="0.25">
      <c r="A882" s="1"/>
      <c r="B882" s="1"/>
      <c r="C882" s="1"/>
      <c r="D882" s="1"/>
      <c r="E882" s="1"/>
      <c r="F882" s="1"/>
      <c r="G882" s="1"/>
      <c r="H882" s="1"/>
      <c r="I882" s="1"/>
      <c r="J882" s="1"/>
      <c r="K882" s="1"/>
      <c r="L882" s="1"/>
      <c r="M882" s="1"/>
    </row>
    <row r="883" ht="15.75" customHeight="1" spans="1:13" x14ac:dyDescent="0.25">
      <c r="A883" s="1"/>
      <c r="B883" s="1"/>
      <c r="C883" s="1"/>
      <c r="D883" s="1"/>
      <c r="E883" s="1"/>
      <c r="F883" s="1"/>
      <c r="G883" s="1"/>
      <c r="H883" s="1"/>
      <c r="I883" s="1"/>
      <c r="J883" s="1"/>
      <c r="K883" s="1"/>
      <c r="L883" s="1"/>
      <c r="M883" s="1"/>
    </row>
    <row r="884" ht="15.75" customHeight="1" spans="1:13" x14ac:dyDescent="0.25">
      <c r="A884" s="1"/>
      <c r="B884" s="1"/>
      <c r="C884" s="1"/>
      <c r="D884" s="1"/>
      <c r="E884" s="1"/>
      <c r="F884" s="1"/>
      <c r="G884" s="1"/>
      <c r="H884" s="1"/>
      <c r="I884" s="1"/>
      <c r="J884" s="1"/>
      <c r="K884" s="1"/>
      <c r="L884" s="1"/>
      <c r="M884" s="1"/>
    </row>
    <row r="885" ht="15.75" customHeight="1" spans="1:13" x14ac:dyDescent="0.25">
      <c r="A885" s="1"/>
      <c r="B885" s="1"/>
      <c r="C885" s="1"/>
      <c r="D885" s="1"/>
      <c r="E885" s="1"/>
      <c r="F885" s="1"/>
      <c r="G885" s="1"/>
      <c r="H885" s="1"/>
      <c r="I885" s="1"/>
      <c r="J885" s="1"/>
      <c r="K885" s="1"/>
      <c r="L885" s="1"/>
      <c r="M885" s="1"/>
    </row>
    <row r="886" ht="15.75" customHeight="1" spans="1:13" x14ac:dyDescent="0.25">
      <c r="A886" s="1"/>
      <c r="B886" s="1"/>
      <c r="C886" s="1"/>
      <c r="D886" s="1"/>
      <c r="E886" s="1"/>
      <c r="F886" s="1"/>
      <c r="G886" s="1"/>
      <c r="H886" s="1"/>
      <c r="I886" s="1"/>
      <c r="J886" s="1"/>
      <c r="K886" s="1"/>
      <c r="L886" s="1"/>
      <c r="M886" s="1"/>
    </row>
    <row r="887" ht="15.75" customHeight="1" spans="1:13" x14ac:dyDescent="0.25">
      <c r="A887" s="1"/>
      <c r="B887" s="1"/>
      <c r="C887" s="1"/>
      <c r="D887" s="1"/>
      <c r="E887" s="1"/>
      <c r="F887" s="1"/>
      <c r="G887" s="1"/>
      <c r="H887" s="1"/>
      <c r="I887" s="1"/>
      <c r="J887" s="1"/>
      <c r="K887" s="1"/>
      <c r="L887" s="1"/>
      <c r="M887" s="1"/>
    </row>
    <row r="888" ht="15.75" customHeight="1" spans="1:13" x14ac:dyDescent="0.25">
      <c r="A888" s="1"/>
      <c r="B888" s="1"/>
      <c r="C888" s="1"/>
      <c r="D888" s="1"/>
      <c r="E888" s="1"/>
      <c r="F888" s="1"/>
      <c r="G888" s="1"/>
      <c r="H888" s="1"/>
      <c r="I888" s="1"/>
      <c r="J888" s="1"/>
      <c r="K888" s="1"/>
      <c r="L888" s="1"/>
      <c r="M888" s="1"/>
    </row>
    <row r="889" ht="15.75" customHeight="1" spans="1:13" x14ac:dyDescent="0.25">
      <c r="A889" s="1"/>
      <c r="B889" s="1"/>
      <c r="C889" s="1"/>
      <c r="D889" s="1"/>
      <c r="E889" s="1"/>
      <c r="F889" s="1"/>
      <c r="G889" s="1"/>
      <c r="H889" s="1"/>
      <c r="I889" s="1"/>
      <c r="J889" s="1"/>
      <c r="K889" s="1"/>
      <c r="L889" s="1"/>
      <c r="M889" s="1"/>
    </row>
    <row r="890" ht="15.75" customHeight="1" spans="1:13" x14ac:dyDescent="0.25">
      <c r="A890" s="1"/>
      <c r="B890" s="1"/>
      <c r="C890" s="1"/>
      <c r="D890" s="1"/>
      <c r="E890" s="1"/>
      <c r="F890" s="1"/>
      <c r="G890" s="1"/>
      <c r="H890" s="1"/>
      <c r="I890" s="1"/>
      <c r="J890" s="1"/>
      <c r="K890" s="1"/>
      <c r="L890" s="1"/>
      <c r="M890" s="1"/>
    </row>
    <row r="891" ht="15.75" customHeight="1" spans="1:13" x14ac:dyDescent="0.25">
      <c r="A891" s="1"/>
      <c r="B891" s="1"/>
      <c r="C891" s="1"/>
      <c r="D891" s="1"/>
      <c r="E891" s="1"/>
      <c r="F891" s="1"/>
      <c r="G891" s="1"/>
      <c r="H891" s="1"/>
      <c r="I891" s="1"/>
      <c r="J891" s="1"/>
      <c r="K891" s="1"/>
      <c r="L891" s="1"/>
      <c r="M891" s="1"/>
    </row>
    <row r="892" ht="15.75" customHeight="1" spans="1:13" x14ac:dyDescent="0.25">
      <c r="A892" s="1"/>
      <c r="B892" s="1"/>
      <c r="C892" s="1"/>
      <c r="D892" s="1"/>
      <c r="E892" s="1"/>
      <c r="F892" s="1"/>
      <c r="G892" s="1"/>
      <c r="H892" s="1"/>
      <c r="I892" s="1"/>
      <c r="J892" s="1"/>
      <c r="K892" s="1"/>
      <c r="L892" s="1"/>
      <c r="M892" s="1"/>
    </row>
    <row r="893" ht="15.75" customHeight="1" spans="1:13" x14ac:dyDescent="0.25">
      <c r="A893" s="1"/>
      <c r="B893" s="1"/>
      <c r="C893" s="1"/>
      <c r="D893" s="1"/>
      <c r="E893" s="1"/>
      <c r="F893" s="1"/>
      <c r="G893" s="1"/>
      <c r="H893" s="1"/>
      <c r="I893" s="1"/>
      <c r="J893" s="1"/>
      <c r="K893" s="1"/>
      <c r="L893" s="1"/>
      <c r="M893" s="1"/>
    </row>
    <row r="894" ht="15.75" customHeight="1" spans="1:13" x14ac:dyDescent="0.25">
      <c r="A894" s="1"/>
      <c r="B894" s="1"/>
      <c r="C894" s="1"/>
      <c r="D894" s="1"/>
      <c r="E894" s="1"/>
      <c r="F894" s="1"/>
      <c r="G894" s="1"/>
      <c r="H894" s="1"/>
      <c r="I894" s="1"/>
      <c r="J894" s="1"/>
      <c r="K894" s="1"/>
      <c r="L894" s="1"/>
      <c r="M894" s="1"/>
    </row>
    <row r="895" ht="15.75" customHeight="1" spans="1:13" x14ac:dyDescent="0.25">
      <c r="A895" s="1"/>
      <c r="B895" s="1"/>
      <c r="C895" s="1"/>
      <c r="D895" s="1"/>
      <c r="E895" s="1"/>
      <c r="F895" s="1"/>
      <c r="G895" s="1"/>
      <c r="H895" s="1"/>
      <c r="I895" s="1"/>
      <c r="J895" s="1"/>
      <c r="K895" s="1"/>
      <c r="L895" s="1"/>
      <c r="M895" s="1"/>
    </row>
    <row r="896" ht="15.75" customHeight="1" spans="1:13" x14ac:dyDescent="0.25">
      <c r="A896" s="1"/>
      <c r="B896" s="1"/>
      <c r="C896" s="1"/>
      <c r="D896" s="1"/>
      <c r="E896" s="1"/>
      <c r="F896" s="1"/>
      <c r="G896" s="1"/>
      <c r="H896" s="1"/>
      <c r="I896" s="1"/>
      <c r="J896" s="1"/>
      <c r="K896" s="1"/>
      <c r="L896" s="1"/>
      <c r="M896" s="1"/>
    </row>
    <row r="897" ht="15.75" customHeight="1" spans="1:13" x14ac:dyDescent="0.25">
      <c r="A897" s="1"/>
      <c r="B897" s="1"/>
      <c r="C897" s="1"/>
      <c r="D897" s="1"/>
      <c r="E897" s="1"/>
      <c r="F897" s="1"/>
      <c r="G897" s="1"/>
      <c r="H897" s="1"/>
      <c r="I897" s="1"/>
      <c r="J897" s="1"/>
      <c r="K897" s="1"/>
      <c r="L897" s="1"/>
      <c r="M897" s="1"/>
    </row>
    <row r="898" ht="15.75" customHeight="1" spans="1:13" x14ac:dyDescent="0.25">
      <c r="A898" s="1"/>
      <c r="B898" s="1"/>
      <c r="C898" s="1"/>
      <c r="D898" s="1"/>
      <c r="E898" s="1"/>
      <c r="F898" s="1"/>
      <c r="G898" s="1"/>
      <c r="H898" s="1"/>
      <c r="I898" s="1"/>
      <c r="J898" s="1"/>
      <c r="K898" s="1"/>
      <c r="L898" s="1"/>
      <c r="M898" s="1"/>
    </row>
    <row r="899" ht="15.75" customHeight="1" spans="1:13" x14ac:dyDescent="0.25">
      <c r="A899" s="1"/>
      <c r="B899" s="1"/>
      <c r="C899" s="1"/>
      <c r="D899" s="1"/>
      <c r="E899" s="1"/>
      <c r="F899" s="1"/>
      <c r="G899" s="1"/>
      <c r="H899" s="1"/>
      <c r="I899" s="1"/>
      <c r="J899" s="1"/>
      <c r="K899" s="1"/>
      <c r="L899" s="1"/>
      <c r="M899" s="1"/>
    </row>
    <row r="900" ht="15.75" customHeight="1" spans="1:13" x14ac:dyDescent="0.25">
      <c r="A900" s="1"/>
      <c r="B900" s="1"/>
      <c r="C900" s="1"/>
      <c r="D900" s="1"/>
      <c r="E900" s="1"/>
      <c r="F900" s="1"/>
      <c r="G900" s="1"/>
      <c r="H900" s="1"/>
      <c r="I900" s="1"/>
      <c r="J900" s="1"/>
      <c r="K900" s="1"/>
      <c r="L900" s="1"/>
      <c r="M900" s="1"/>
    </row>
    <row r="901" ht="15.75" customHeight="1" spans="1:13" x14ac:dyDescent="0.25">
      <c r="A901" s="1"/>
      <c r="B901" s="1"/>
      <c r="C901" s="1"/>
      <c r="D901" s="1"/>
      <c r="E901" s="1"/>
      <c r="F901" s="1"/>
      <c r="G901" s="1"/>
      <c r="H901" s="1"/>
      <c r="I901" s="1"/>
      <c r="J901" s="1"/>
      <c r="K901" s="1"/>
      <c r="L901" s="1"/>
      <c r="M901" s="1"/>
    </row>
    <row r="902" ht="15.75" customHeight="1" spans="1:13" x14ac:dyDescent="0.25">
      <c r="A902" s="1"/>
      <c r="B902" s="1"/>
      <c r="C902" s="1"/>
      <c r="D902" s="1"/>
      <c r="E902" s="1"/>
      <c r="F902" s="1"/>
      <c r="G902" s="1"/>
      <c r="H902" s="1"/>
      <c r="I902" s="1"/>
      <c r="J902" s="1"/>
      <c r="K902" s="1"/>
      <c r="L902" s="1"/>
      <c r="M902" s="1"/>
    </row>
    <row r="903" ht="15.75" customHeight="1" spans="1:13" x14ac:dyDescent="0.25">
      <c r="A903" s="1"/>
      <c r="B903" s="1"/>
      <c r="C903" s="1"/>
      <c r="D903" s="1"/>
      <c r="E903" s="1"/>
      <c r="F903" s="1"/>
      <c r="G903" s="1"/>
      <c r="H903" s="1"/>
      <c r="I903" s="1"/>
      <c r="J903" s="1"/>
      <c r="K903" s="1"/>
      <c r="L903" s="1"/>
      <c r="M903" s="1"/>
    </row>
    <row r="904" ht="15.75" customHeight="1" spans="1:13" x14ac:dyDescent="0.25">
      <c r="A904" s="1"/>
      <c r="B904" s="1"/>
      <c r="C904" s="1"/>
      <c r="D904" s="1"/>
      <c r="E904" s="1"/>
      <c r="F904" s="1"/>
      <c r="G904" s="1"/>
      <c r="H904" s="1"/>
      <c r="I904" s="1"/>
      <c r="J904" s="1"/>
      <c r="K904" s="1"/>
      <c r="L904" s="1"/>
      <c r="M904" s="1"/>
    </row>
    <row r="905" ht="15.75" customHeight="1" spans="1:13" x14ac:dyDescent="0.25">
      <c r="A905" s="1"/>
      <c r="B905" s="1"/>
      <c r="C905" s="1"/>
      <c r="D905" s="1"/>
      <c r="E905" s="1"/>
      <c r="F905" s="1"/>
      <c r="G905" s="1"/>
      <c r="H905" s="1"/>
      <c r="I905" s="1"/>
      <c r="J905" s="1"/>
      <c r="K905" s="1"/>
      <c r="L905" s="1"/>
      <c r="M905" s="1"/>
    </row>
    <row r="906" ht="15.75" customHeight="1" spans="1:13" x14ac:dyDescent="0.25">
      <c r="A906" s="1"/>
      <c r="B906" s="1"/>
      <c r="C906" s="1"/>
      <c r="D906" s="1"/>
      <c r="E906" s="1"/>
      <c r="F906" s="1"/>
      <c r="G906" s="1"/>
      <c r="H906" s="1"/>
      <c r="I906" s="1"/>
      <c r="J906" s="1"/>
      <c r="K906" s="1"/>
      <c r="L906" s="1"/>
      <c r="M906" s="1"/>
    </row>
    <row r="907" ht="15.75" customHeight="1" spans="1:13" x14ac:dyDescent="0.25">
      <c r="A907" s="1"/>
      <c r="B907" s="1"/>
      <c r="C907" s="1"/>
      <c r="D907" s="1"/>
      <c r="E907" s="1"/>
      <c r="F907" s="1"/>
      <c r="G907" s="1"/>
      <c r="H907" s="1"/>
      <c r="I907" s="1"/>
      <c r="J907" s="1"/>
      <c r="K907" s="1"/>
      <c r="L907" s="1"/>
      <c r="M907" s="1"/>
    </row>
    <row r="908" ht="15.75" customHeight="1" spans="1:13" x14ac:dyDescent="0.25">
      <c r="A908" s="1"/>
      <c r="B908" s="1"/>
      <c r="C908" s="1"/>
      <c r="D908" s="1"/>
      <c r="E908" s="1"/>
      <c r="F908" s="1"/>
      <c r="G908" s="1"/>
      <c r="H908" s="1"/>
      <c r="I908" s="1"/>
      <c r="J908" s="1"/>
      <c r="K908" s="1"/>
      <c r="L908" s="1"/>
      <c r="M908" s="1"/>
    </row>
    <row r="909" ht="15.75" customHeight="1" spans="1:13" x14ac:dyDescent="0.25">
      <c r="A909" s="1"/>
      <c r="B909" s="1"/>
      <c r="C909" s="1"/>
      <c r="D909" s="1"/>
      <c r="E909" s="1"/>
      <c r="F909" s="1"/>
      <c r="G909" s="1"/>
      <c r="H909" s="1"/>
      <c r="I909" s="1"/>
      <c r="J909" s="1"/>
      <c r="K909" s="1"/>
      <c r="L909" s="1"/>
      <c r="M909" s="1"/>
    </row>
    <row r="910" ht="15.75" customHeight="1" spans="1:13" x14ac:dyDescent="0.25">
      <c r="A910" s="1"/>
      <c r="B910" s="1"/>
      <c r="C910" s="1"/>
      <c r="D910" s="1"/>
      <c r="E910" s="1"/>
      <c r="F910" s="1"/>
      <c r="G910" s="1"/>
      <c r="H910" s="1"/>
      <c r="I910" s="1"/>
      <c r="J910" s="1"/>
      <c r="K910" s="1"/>
      <c r="L910" s="1"/>
      <c r="M910" s="1"/>
    </row>
    <row r="911" ht="15.75" customHeight="1" spans="1:13" x14ac:dyDescent="0.25">
      <c r="A911" s="1"/>
      <c r="B911" s="1"/>
      <c r="C911" s="1"/>
      <c r="D911" s="1"/>
      <c r="E911" s="1"/>
      <c r="F911" s="1"/>
      <c r="G911" s="1"/>
      <c r="H911" s="1"/>
      <c r="I911" s="1"/>
      <c r="J911" s="1"/>
      <c r="K911" s="1"/>
      <c r="L911" s="1"/>
      <c r="M911" s="1"/>
    </row>
    <row r="912" ht="15.75" customHeight="1" spans="1:13" x14ac:dyDescent="0.25">
      <c r="A912" s="1"/>
      <c r="B912" s="1"/>
      <c r="C912" s="1"/>
      <c r="D912" s="1"/>
      <c r="E912" s="1"/>
      <c r="F912" s="1"/>
      <c r="G912" s="1"/>
      <c r="H912" s="1"/>
      <c r="I912" s="1"/>
      <c r="J912" s="1"/>
      <c r="K912" s="1"/>
      <c r="L912" s="1"/>
      <c r="M912" s="1"/>
    </row>
    <row r="913" ht="15.75" customHeight="1" spans="1:13" x14ac:dyDescent="0.25">
      <c r="A913" s="1"/>
      <c r="B913" s="1"/>
      <c r="C913" s="1"/>
      <c r="D913" s="1"/>
      <c r="E913" s="1"/>
      <c r="F913" s="1"/>
      <c r="G913" s="1"/>
      <c r="H913" s="1"/>
      <c r="I913" s="1"/>
      <c r="J913" s="1"/>
      <c r="K913" s="1"/>
      <c r="L913" s="1"/>
      <c r="M913" s="1"/>
    </row>
    <row r="914" ht="15.75" customHeight="1" spans="1:13" x14ac:dyDescent="0.25">
      <c r="A914" s="1"/>
      <c r="B914" s="1"/>
      <c r="C914" s="1"/>
      <c r="D914" s="1"/>
      <c r="E914" s="1"/>
      <c r="F914" s="1"/>
      <c r="G914" s="1"/>
      <c r="H914" s="1"/>
      <c r="I914" s="1"/>
      <c r="J914" s="1"/>
      <c r="K914" s="1"/>
      <c r="L914" s="1"/>
      <c r="M914" s="1"/>
    </row>
    <row r="915" ht="15.75" customHeight="1" spans="1:13" x14ac:dyDescent="0.25">
      <c r="A915" s="1"/>
      <c r="B915" s="1"/>
      <c r="C915" s="1"/>
      <c r="D915" s="1"/>
      <c r="E915" s="1"/>
      <c r="F915" s="1"/>
      <c r="G915" s="1"/>
      <c r="H915" s="1"/>
      <c r="I915" s="1"/>
      <c r="J915" s="1"/>
      <c r="K915" s="1"/>
      <c r="L915" s="1"/>
      <c r="M915" s="1"/>
    </row>
    <row r="916" ht="15.75" customHeight="1" spans="1:13" x14ac:dyDescent="0.25">
      <c r="A916" s="1"/>
      <c r="B916" s="1"/>
      <c r="C916" s="1"/>
      <c r="D916" s="1"/>
      <c r="E916" s="1"/>
      <c r="F916" s="1"/>
      <c r="G916" s="1"/>
      <c r="H916" s="1"/>
      <c r="I916" s="1"/>
      <c r="J916" s="1"/>
      <c r="K916" s="1"/>
      <c r="L916" s="1"/>
      <c r="M916" s="1"/>
    </row>
    <row r="917" ht="15.75" customHeight="1" spans="1:13" x14ac:dyDescent="0.25">
      <c r="A917" s="1"/>
      <c r="B917" s="1"/>
      <c r="C917" s="1"/>
      <c r="D917" s="1"/>
      <c r="E917" s="1"/>
      <c r="F917" s="1"/>
      <c r="G917" s="1"/>
      <c r="H917" s="1"/>
      <c r="I917" s="1"/>
      <c r="J917" s="1"/>
      <c r="K917" s="1"/>
      <c r="L917" s="1"/>
      <c r="M917" s="1"/>
    </row>
    <row r="918" ht="15.75" customHeight="1" spans="1:13" x14ac:dyDescent="0.25">
      <c r="A918" s="1"/>
      <c r="B918" s="1"/>
      <c r="C918" s="1"/>
      <c r="D918" s="1"/>
      <c r="E918" s="1"/>
      <c r="F918" s="1"/>
      <c r="G918" s="1"/>
      <c r="H918" s="1"/>
      <c r="I918" s="1"/>
      <c r="J918" s="1"/>
      <c r="K918" s="1"/>
      <c r="L918" s="1"/>
      <c r="M918" s="1"/>
    </row>
    <row r="919" ht="15.75" customHeight="1" spans="1:13" x14ac:dyDescent="0.25">
      <c r="A919" s="1"/>
      <c r="B919" s="1"/>
      <c r="C919" s="1"/>
      <c r="D919" s="1"/>
      <c r="E919" s="1"/>
      <c r="F919" s="1"/>
      <c r="G919" s="1"/>
      <c r="H919" s="1"/>
      <c r="I919" s="1"/>
      <c r="J919" s="1"/>
      <c r="K919" s="1"/>
      <c r="L919" s="1"/>
      <c r="M919" s="1"/>
    </row>
    <row r="920" ht="15.75" customHeight="1" spans="1:13" x14ac:dyDescent="0.25">
      <c r="A920" s="1"/>
      <c r="B920" s="1"/>
      <c r="C920" s="1"/>
      <c r="D920" s="1"/>
      <c r="E920" s="1"/>
      <c r="F920" s="1"/>
      <c r="G920" s="1"/>
      <c r="H920" s="1"/>
      <c r="I920" s="1"/>
      <c r="J920" s="1"/>
      <c r="K920" s="1"/>
      <c r="L920" s="1"/>
      <c r="M920" s="1"/>
    </row>
    <row r="921" ht="15.75" customHeight="1" spans="1:13" x14ac:dyDescent="0.25">
      <c r="A921" s="1"/>
      <c r="B921" s="1"/>
      <c r="C921" s="1"/>
      <c r="D921" s="1"/>
      <c r="E921" s="1"/>
      <c r="F921" s="1"/>
      <c r="G921" s="1"/>
      <c r="H921" s="1"/>
      <c r="I921" s="1"/>
      <c r="J921" s="1"/>
      <c r="K921" s="1"/>
      <c r="L921" s="1"/>
      <c r="M921" s="1"/>
    </row>
    <row r="922" ht="15.75" customHeight="1" spans="1:13" x14ac:dyDescent="0.25">
      <c r="A922" s="1"/>
      <c r="B922" s="1"/>
      <c r="C922" s="1"/>
      <c r="D922" s="1"/>
      <c r="E922" s="1"/>
      <c r="F922" s="1"/>
      <c r="G922" s="1"/>
      <c r="H922" s="1"/>
      <c r="I922" s="1"/>
      <c r="J922" s="1"/>
      <c r="K922" s="1"/>
      <c r="L922" s="1"/>
      <c r="M922" s="1"/>
    </row>
    <row r="923" ht="15.75" customHeight="1" spans="1:13" x14ac:dyDescent="0.25">
      <c r="A923" s="1"/>
      <c r="B923" s="1"/>
      <c r="C923" s="1"/>
      <c r="D923" s="1"/>
      <c r="E923" s="1"/>
      <c r="F923" s="1"/>
      <c r="G923" s="1"/>
      <c r="H923" s="1"/>
      <c r="I923" s="1"/>
      <c r="J923" s="1"/>
      <c r="K923" s="1"/>
      <c r="L923" s="1"/>
      <c r="M923" s="1"/>
    </row>
    <row r="924" ht="15.75" customHeight="1" spans="1:13" x14ac:dyDescent="0.25">
      <c r="A924" s="1"/>
      <c r="B924" s="1"/>
      <c r="C924" s="1"/>
      <c r="D924" s="1"/>
      <c r="E924" s="1"/>
      <c r="F924" s="1"/>
      <c r="G924" s="1"/>
      <c r="H924" s="1"/>
      <c r="I924" s="1"/>
      <c r="J924" s="1"/>
      <c r="K924" s="1"/>
      <c r="L924" s="1"/>
      <c r="M924" s="1"/>
    </row>
    <row r="925" ht="15.75" customHeight="1" spans="1:13" x14ac:dyDescent="0.25">
      <c r="A925" s="1"/>
      <c r="B925" s="1"/>
      <c r="C925" s="1"/>
      <c r="D925" s="1"/>
      <c r="E925" s="1"/>
      <c r="F925" s="1"/>
      <c r="G925" s="1"/>
      <c r="H925" s="1"/>
      <c r="I925" s="1"/>
      <c r="J925" s="1"/>
      <c r="K925" s="1"/>
      <c r="L925" s="1"/>
      <c r="M925" s="1"/>
    </row>
    <row r="926" ht="15.75" customHeight="1" spans="1:13" x14ac:dyDescent="0.25">
      <c r="A926" s="1"/>
      <c r="B926" s="1"/>
      <c r="C926" s="1"/>
      <c r="D926" s="1"/>
      <c r="E926" s="1"/>
      <c r="F926" s="1"/>
      <c r="G926" s="1"/>
      <c r="H926" s="1"/>
      <c r="I926" s="1"/>
      <c r="J926" s="1"/>
      <c r="K926" s="1"/>
      <c r="L926" s="1"/>
      <c r="M926" s="1"/>
    </row>
    <row r="927" ht="15.75" customHeight="1" spans="1:13" x14ac:dyDescent="0.25">
      <c r="A927" s="1"/>
      <c r="B927" s="1"/>
      <c r="C927" s="1"/>
      <c r="D927" s="1"/>
      <c r="E927" s="1"/>
      <c r="F927" s="1"/>
      <c r="G927" s="1"/>
      <c r="H927" s="1"/>
      <c r="I927" s="1"/>
      <c r="J927" s="1"/>
      <c r="K927" s="1"/>
      <c r="L927" s="1"/>
      <c r="M927" s="1"/>
    </row>
    <row r="928" ht="15.75" customHeight="1" spans="1:13" x14ac:dyDescent="0.25">
      <c r="A928" s="1"/>
      <c r="B928" s="1"/>
      <c r="C928" s="1"/>
      <c r="D928" s="1"/>
      <c r="E928" s="1"/>
      <c r="F928" s="1"/>
      <c r="G928" s="1"/>
      <c r="H928" s="1"/>
      <c r="I928" s="1"/>
      <c r="J928" s="1"/>
      <c r="K928" s="1"/>
      <c r="L928" s="1"/>
      <c r="M928" s="1"/>
    </row>
    <row r="929" ht="15.75" customHeight="1" spans="1:13" x14ac:dyDescent="0.25">
      <c r="A929" s="1"/>
      <c r="B929" s="1"/>
      <c r="C929" s="1"/>
      <c r="D929" s="1"/>
      <c r="E929" s="1"/>
      <c r="F929" s="1"/>
      <c r="G929" s="1"/>
      <c r="H929" s="1"/>
      <c r="I929" s="1"/>
      <c r="J929" s="1"/>
      <c r="K929" s="1"/>
      <c r="L929" s="1"/>
      <c r="M929" s="1"/>
    </row>
    <row r="930" ht="15.75" customHeight="1" spans="1:13" x14ac:dyDescent="0.25">
      <c r="A930" s="1"/>
      <c r="B930" s="1"/>
      <c r="C930" s="1"/>
      <c r="D930" s="1"/>
      <c r="E930" s="1"/>
      <c r="F930" s="1"/>
      <c r="G930" s="1"/>
      <c r="H930" s="1"/>
      <c r="I930" s="1"/>
      <c r="J930" s="1"/>
      <c r="K930" s="1"/>
      <c r="L930" s="1"/>
      <c r="M930" s="1"/>
    </row>
    <row r="931" ht="15.75" customHeight="1" spans="1:13" x14ac:dyDescent="0.25">
      <c r="A931" s="1"/>
      <c r="B931" s="1"/>
      <c r="C931" s="1"/>
      <c r="D931" s="1"/>
      <c r="E931" s="1"/>
      <c r="F931" s="1"/>
      <c r="G931" s="1"/>
      <c r="H931" s="1"/>
      <c r="I931" s="1"/>
      <c r="J931" s="1"/>
      <c r="K931" s="1"/>
      <c r="L931" s="1"/>
      <c r="M931" s="1"/>
    </row>
    <row r="932" ht="15.75" customHeight="1" spans="1:13" x14ac:dyDescent="0.25">
      <c r="A932" s="1"/>
      <c r="B932" s="1"/>
      <c r="C932" s="1"/>
      <c r="D932" s="1"/>
      <c r="E932" s="1"/>
      <c r="F932" s="1"/>
      <c r="G932" s="1"/>
      <c r="H932" s="1"/>
      <c r="I932" s="1"/>
      <c r="J932" s="1"/>
      <c r="K932" s="1"/>
      <c r="L932" s="1"/>
      <c r="M932" s="1"/>
    </row>
    <row r="933" ht="15.75" customHeight="1" spans="1:13" x14ac:dyDescent="0.25">
      <c r="A933" s="1"/>
      <c r="B933" s="1"/>
      <c r="C933" s="1"/>
      <c r="D933" s="1"/>
      <c r="E933" s="1"/>
      <c r="F933" s="1"/>
      <c r="G933" s="1"/>
      <c r="H933" s="1"/>
      <c r="I933" s="1"/>
      <c r="J933" s="1"/>
      <c r="K933" s="1"/>
      <c r="L933" s="1"/>
      <c r="M933" s="1"/>
    </row>
    <row r="934" ht="15.75" customHeight="1" spans="1:13" x14ac:dyDescent="0.25">
      <c r="A934" s="1"/>
      <c r="B934" s="1"/>
      <c r="C934" s="1"/>
      <c r="D934" s="1"/>
      <c r="E934" s="1"/>
      <c r="F934" s="1"/>
      <c r="G934" s="1"/>
      <c r="H934" s="1"/>
      <c r="I934" s="1"/>
      <c r="J934" s="1"/>
      <c r="K934" s="1"/>
      <c r="L934" s="1"/>
      <c r="M934" s="1"/>
    </row>
    <row r="935" ht="15.75" customHeight="1" spans="1:13" x14ac:dyDescent="0.25">
      <c r="A935" s="1"/>
      <c r="B935" s="1"/>
      <c r="C935" s="1"/>
      <c r="D935" s="1"/>
      <c r="E935" s="1"/>
      <c r="F935" s="1"/>
      <c r="G935" s="1"/>
      <c r="H935" s="1"/>
      <c r="I935" s="1"/>
      <c r="J935" s="1"/>
      <c r="K935" s="1"/>
      <c r="L935" s="1"/>
      <c r="M935" s="1"/>
    </row>
    <row r="936" ht="15.75" customHeight="1" spans="1:13" x14ac:dyDescent="0.25">
      <c r="A936" s="1"/>
      <c r="B936" s="1"/>
      <c r="C936" s="1"/>
      <c r="D936" s="1"/>
      <c r="E936" s="1"/>
      <c r="F936" s="1"/>
      <c r="G936" s="1"/>
      <c r="H936" s="1"/>
      <c r="I936" s="1"/>
      <c r="J936" s="1"/>
      <c r="K936" s="1"/>
      <c r="L936" s="1"/>
      <c r="M936" s="1"/>
    </row>
    <row r="937" ht="15.75" customHeight="1" spans="1:13" x14ac:dyDescent="0.25">
      <c r="A937" s="1"/>
      <c r="B937" s="1"/>
      <c r="C937" s="1"/>
      <c r="D937" s="1"/>
      <c r="E937" s="1"/>
      <c r="F937" s="1"/>
      <c r="G937" s="1"/>
      <c r="H937" s="1"/>
      <c r="I937" s="1"/>
      <c r="J937" s="1"/>
      <c r="K937" s="1"/>
      <c r="L937" s="1"/>
      <c r="M937" s="1"/>
    </row>
    <row r="938" ht="15.75" customHeight="1" spans="1:13" x14ac:dyDescent="0.25">
      <c r="A938" s="1"/>
      <c r="B938" s="1"/>
      <c r="C938" s="1"/>
      <c r="D938" s="1"/>
      <c r="E938" s="1"/>
      <c r="F938" s="1"/>
      <c r="G938" s="1"/>
      <c r="H938" s="1"/>
      <c r="I938" s="1"/>
      <c r="J938" s="1"/>
      <c r="K938" s="1"/>
      <c r="L938" s="1"/>
      <c r="M938" s="1"/>
    </row>
    <row r="939" ht="15.75" customHeight="1" spans="1:13" x14ac:dyDescent="0.25">
      <c r="A939" s="1"/>
      <c r="B939" s="1"/>
      <c r="C939" s="1"/>
      <c r="D939" s="1"/>
      <c r="E939" s="1"/>
      <c r="F939" s="1"/>
      <c r="G939" s="1"/>
      <c r="H939" s="1"/>
      <c r="I939" s="1"/>
      <c r="J939" s="1"/>
      <c r="K939" s="1"/>
      <c r="L939" s="1"/>
      <c r="M939" s="1"/>
    </row>
    <row r="940" ht="15.75" customHeight="1" spans="1:13" x14ac:dyDescent="0.25">
      <c r="A940" s="1"/>
      <c r="B940" s="1"/>
      <c r="C940" s="1"/>
      <c r="D940" s="1"/>
      <c r="E940" s="1"/>
      <c r="F940" s="1"/>
      <c r="G940" s="1"/>
      <c r="H940" s="1"/>
      <c r="I940" s="1"/>
      <c r="J940" s="1"/>
      <c r="K940" s="1"/>
      <c r="L940" s="1"/>
      <c r="M940" s="1"/>
    </row>
    <row r="941" ht="15.75" customHeight="1" spans="1:13" x14ac:dyDescent="0.25">
      <c r="A941" s="1"/>
      <c r="B941" s="1"/>
      <c r="C941" s="1"/>
      <c r="D941" s="1"/>
      <c r="E941" s="1"/>
      <c r="F941" s="1"/>
      <c r="G941" s="1"/>
      <c r="H941" s="1"/>
      <c r="I941" s="1"/>
      <c r="J941" s="1"/>
      <c r="K941" s="1"/>
      <c r="L941" s="1"/>
      <c r="M941" s="1"/>
    </row>
    <row r="942" ht="15.75" customHeight="1" spans="1:13" x14ac:dyDescent="0.25">
      <c r="A942" s="1"/>
      <c r="B942" s="1"/>
      <c r="C942" s="1"/>
      <c r="D942" s="1"/>
      <c r="E942" s="1"/>
      <c r="F942" s="1"/>
      <c r="G942" s="1"/>
      <c r="H942" s="1"/>
      <c r="I942" s="1"/>
      <c r="J942" s="1"/>
      <c r="K942" s="1"/>
      <c r="L942" s="1"/>
      <c r="M942" s="1"/>
    </row>
    <row r="943" ht="15.75" customHeight="1" spans="1:13" x14ac:dyDescent="0.25">
      <c r="A943" s="1"/>
      <c r="B943" s="1"/>
      <c r="C943" s="1"/>
      <c r="D943" s="1"/>
      <c r="E943" s="1"/>
      <c r="F943" s="1"/>
      <c r="G943" s="1"/>
      <c r="H943" s="1"/>
      <c r="I943" s="1"/>
      <c r="J943" s="1"/>
      <c r="K943" s="1"/>
      <c r="L943" s="1"/>
      <c r="M943" s="1"/>
    </row>
    <row r="944" ht="15.75" customHeight="1" spans="1:13" x14ac:dyDescent="0.25">
      <c r="A944" s="1"/>
      <c r="B944" s="1"/>
      <c r="C944" s="1"/>
      <c r="D944" s="1"/>
      <c r="E944" s="1"/>
      <c r="F944" s="1"/>
      <c r="G944" s="1"/>
      <c r="H944" s="1"/>
      <c r="I944" s="1"/>
      <c r="J944" s="1"/>
      <c r="K944" s="1"/>
      <c r="L944" s="1"/>
      <c r="M944" s="1"/>
    </row>
    <row r="945" ht="15.75" customHeight="1" spans="1:13" x14ac:dyDescent="0.25">
      <c r="A945" s="1"/>
      <c r="B945" s="1"/>
      <c r="C945" s="1"/>
      <c r="D945" s="1"/>
      <c r="E945" s="1"/>
      <c r="F945" s="1"/>
      <c r="G945" s="1"/>
      <c r="H945" s="1"/>
      <c r="I945" s="1"/>
      <c r="J945" s="1"/>
      <c r="K945" s="1"/>
      <c r="L945" s="1"/>
      <c r="M945" s="1"/>
    </row>
    <row r="946" ht="15.75" customHeight="1" spans="1:13" x14ac:dyDescent="0.25">
      <c r="A946" s="1"/>
      <c r="B946" s="1"/>
      <c r="C946" s="1"/>
      <c r="D946" s="1"/>
      <c r="E946" s="1"/>
      <c r="F946" s="1"/>
      <c r="G946" s="1"/>
      <c r="H946" s="1"/>
      <c r="I946" s="1"/>
      <c r="J946" s="1"/>
      <c r="K946" s="1"/>
      <c r="L946" s="1"/>
      <c r="M946" s="1"/>
    </row>
    <row r="947" ht="15.75" customHeight="1" spans="1:13" x14ac:dyDescent="0.25">
      <c r="A947" s="1"/>
      <c r="B947" s="1"/>
      <c r="C947" s="1"/>
      <c r="D947" s="1"/>
      <c r="E947" s="1"/>
      <c r="F947" s="1"/>
      <c r="G947" s="1"/>
      <c r="H947" s="1"/>
      <c r="I947" s="1"/>
      <c r="J947" s="1"/>
      <c r="K947" s="1"/>
      <c r="L947" s="1"/>
      <c r="M947" s="1"/>
    </row>
    <row r="948" ht="15.75" customHeight="1" spans="1:13" x14ac:dyDescent="0.25">
      <c r="A948" s="1"/>
      <c r="B948" s="1"/>
      <c r="C948" s="1"/>
      <c r="D948" s="1"/>
      <c r="E948" s="1"/>
      <c r="F948" s="1"/>
      <c r="G948" s="1"/>
      <c r="H948" s="1"/>
      <c r="I948" s="1"/>
      <c r="J948" s="1"/>
      <c r="K948" s="1"/>
      <c r="L948" s="1"/>
      <c r="M948" s="1"/>
    </row>
    <row r="949" ht="15.75" customHeight="1" spans="1:13" x14ac:dyDescent="0.25">
      <c r="A949" s="1"/>
      <c r="B949" s="1"/>
      <c r="C949" s="1"/>
      <c r="D949" s="1"/>
      <c r="E949" s="1"/>
      <c r="F949" s="1"/>
      <c r="G949" s="1"/>
      <c r="H949" s="1"/>
      <c r="I949" s="1"/>
      <c r="J949" s="1"/>
      <c r="K949" s="1"/>
      <c r="L949" s="1"/>
      <c r="M949" s="1"/>
    </row>
    <row r="950" ht="15.75" customHeight="1" spans="1:13" x14ac:dyDescent="0.25">
      <c r="A950" s="1"/>
      <c r="B950" s="1"/>
      <c r="C950" s="1"/>
      <c r="D950" s="1"/>
      <c r="E950" s="1"/>
      <c r="F950" s="1"/>
      <c r="G950" s="1"/>
      <c r="H950" s="1"/>
      <c r="I950" s="1"/>
      <c r="J950" s="1"/>
      <c r="K950" s="1"/>
      <c r="L950" s="1"/>
      <c r="M950" s="1"/>
    </row>
    <row r="951" ht="15.75" customHeight="1" spans="1:13" x14ac:dyDescent="0.25">
      <c r="A951" s="1"/>
      <c r="B951" s="1"/>
      <c r="C951" s="1"/>
      <c r="D951" s="1"/>
      <c r="E951" s="1"/>
      <c r="F951" s="1"/>
      <c r="G951" s="1"/>
      <c r="H951" s="1"/>
      <c r="I951" s="1"/>
      <c r="J951" s="1"/>
      <c r="K951" s="1"/>
      <c r="L951" s="1"/>
      <c r="M951" s="1"/>
    </row>
    <row r="952" ht="15.75" customHeight="1" spans="1:13" x14ac:dyDescent="0.25">
      <c r="A952" s="1"/>
      <c r="B952" s="1"/>
      <c r="C952" s="1"/>
      <c r="D952" s="1"/>
      <c r="E952" s="1"/>
      <c r="F952" s="1"/>
      <c r="G952" s="1"/>
      <c r="H952" s="1"/>
      <c r="I952" s="1"/>
      <c r="J952" s="1"/>
      <c r="K952" s="1"/>
      <c r="L952" s="1"/>
      <c r="M952" s="1"/>
    </row>
    <row r="953" ht="15.75" customHeight="1" spans="1:13" x14ac:dyDescent="0.25">
      <c r="A953" s="1"/>
      <c r="B953" s="1"/>
      <c r="C953" s="1"/>
      <c r="D953" s="1"/>
      <c r="E953" s="1"/>
      <c r="F953" s="1"/>
      <c r="G953" s="1"/>
      <c r="H953" s="1"/>
      <c r="I953" s="1"/>
      <c r="J953" s="1"/>
      <c r="K953" s="1"/>
      <c r="L953" s="1"/>
      <c r="M953" s="1"/>
    </row>
    <row r="954" ht="15.75" customHeight="1" spans="1:13" x14ac:dyDescent="0.25">
      <c r="A954" s="1"/>
      <c r="B954" s="1"/>
      <c r="C954" s="1"/>
      <c r="D954" s="1"/>
      <c r="E954" s="1"/>
      <c r="F954" s="1"/>
      <c r="G954" s="1"/>
      <c r="H954" s="1"/>
      <c r="I954" s="1"/>
      <c r="J954" s="1"/>
      <c r="K954" s="1"/>
      <c r="L954" s="1"/>
      <c r="M954" s="1"/>
    </row>
    <row r="955" ht="15.75" customHeight="1" spans="1:13" x14ac:dyDescent="0.25">
      <c r="A955" s="1"/>
      <c r="B955" s="1"/>
      <c r="C955" s="1"/>
      <c r="D955" s="1"/>
      <c r="E955" s="1"/>
      <c r="F955" s="1"/>
      <c r="G955" s="1"/>
      <c r="H955" s="1"/>
      <c r="I955" s="1"/>
      <c r="J955" s="1"/>
      <c r="K955" s="1"/>
      <c r="L955" s="1"/>
      <c r="M955" s="1"/>
    </row>
    <row r="956" ht="15.75" customHeight="1" spans="1:13" x14ac:dyDescent="0.25">
      <c r="A956" s="1"/>
      <c r="B956" s="1"/>
      <c r="C956" s="1"/>
      <c r="D956" s="1"/>
      <c r="E956" s="1"/>
      <c r="F956" s="1"/>
      <c r="G956" s="1"/>
      <c r="H956" s="1"/>
      <c r="I956" s="1"/>
      <c r="J956" s="1"/>
      <c r="K956" s="1"/>
      <c r="L956" s="1"/>
      <c r="M956" s="1"/>
    </row>
    <row r="957" ht="15.75" customHeight="1" spans="1:13" x14ac:dyDescent="0.25">
      <c r="A957" s="1"/>
      <c r="B957" s="1"/>
      <c r="C957" s="1"/>
      <c r="D957" s="1"/>
      <c r="E957" s="1"/>
      <c r="F957" s="1"/>
      <c r="G957" s="1"/>
      <c r="H957" s="1"/>
      <c r="I957" s="1"/>
      <c r="J957" s="1"/>
      <c r="K957" s="1"/>
      <c r="L957" s="1"/>
      <c r="M957" s="1"/>
    </row>
    <row r="958" ht="15.75" customHeight="1" spans="1:13" x14ac:dyDescent="0.25">
      <c r="A958" s="1"/>
      <c r="B958" s="1"/>
      <c r="C958" s="1"/>
      <c r="D958" s="1"/>
      <c r="E958" s="1"/>
      <c r="F958" s="1"/>
      <c r="G958" s="1"/>
      <c r="H958" s="1"/>
      <c r="I958" s="1"/>
      <c r="J958" s="1"/>
      <c r="K958" s="1"/>
      <c r="L958" s="1"/>
      <c r="M958" s="1"/>
    </row>
    <row r="959" ht="15.75" customHeight="1" spans="1:13" x14ac:dyDescent="0.25">
      <c r="A959" s="1"/>
      <c r="B959" s="1"/>
      <c r="C959" s="1"/>
      <c r="D959" s="1"/>
      <c r="E959" s="1"/>
      <c r="F959" s="1"/>
      <c r="G959" s="1"/>
      <c r="H959" s="1"/>
      <c r="I959" s="1"/>
      <c r="J959" s="1"/>
      <c r="K959" s="1"/>
      <c r="L959" s="1"/>
      <c r="M959" s="1"/>
    </row>
    <row r="960" ht="15.75" customHeight="1" spans="1:13" x14ac:dyDescent="0.25">
      <c r="A960" s="1"/>
      <c r="B960" s="1"/>
      <c r="C960" s="1"/>
      <c r="D960" s="1"/>
      <c r="E960" s="1"/>
      <c r="F960" s="1"/>
      <c r="G960" s="1"/>
      <c r="H960" s="1"/>
      <c r="I960" s="1"/>
      <c r="J960" s="1"/>
      <c r="K960" s="1"/>
      <c r="L960" s="1"/>
      <c r="M960" s="1"/>
    </row>
    <row r="961" ht="15.75" customHeight="1" spans="1:13" x14ac:dyDescent="0.25">
      <c r="A961" s="1"/>
      <c r="B961" s="1"/>
      <c r="C961" s="1"/>
      <c r="D961" s="1"/>
      <c r="E961" s="1"/>
      <c r="F961" s="1"/>
      <c r="G961" s="1"/>
      <c r="H961" s="1"/>
      <c r="I961" s="1"/>
      <c r="J961" s="1"/>
      <c r="K961" s="1"/>
      <c r="L961" s="1"/>
      <c r="M961" s="1"/>
    </row>
    <row r="962" ht="15.75" customHeight="1" spans="1:13" x14ac:dyDescent="0.25">
      <c r="A962" s="1"/>
      <c r="B962" s="1"/>
      <c r="C962" s="1"/>
      <c r="D962" s="1"/>
      <c r="E962" s="1"/>
      <c r="F962" s="1"/>
      <c r="G962" s="1"/>
      <c r="H962" s="1"/>
      <c r="I962" s="1"/>
      <c r="J962" s="1"/>
      <c r="K962" s="1"/>
      <c r="L962" s="1"/>
      <c r="M962" s="1"/>
    </row>
    <row r="963" ht="15.75" customHeight="1" spans="1:13" x14ac:dyDescent="0.25">
      <c r="A963" s="1"/>
      <c r="B963" s="1"/>
      <c r="C963" s="1"/>
      <c r="D963" s="1"/>
      <c r="E963" s="1"/>
      <c r="F963" s="1"/>
      <c r="G963" s="1"/>
      <c r="H963" s="1"/>
      <c r="I963" s="1"/>
      <c r="J963" s="1"/>
      <c r="K963" s="1"/>
      <c r="L963" s="1"/>
      <c r="M963" s="1"/>
    </row>
    <row r="964" ht="15.75" customHeight="1" spans="1:13" x14ac:dyDescent="0.25">
      <c r="A964" s="1"/>
      <c r="B964" s="1"/>
      <c r="C964" s="1"/>
      <c r="D964" s="1"/>
      <c r="E964" s="1"/>
      <c r="F964" s="1"/>
      <c r="G964" s="1"/>
      <c r="H964" s="1"/>
      <c r="I964" s="1"/>
      <c r="J964" s="1"/>
      <c r="K964" s="1"/>
      <c r="L964" s="1"/>
      <c r="M964" s="1"/>
    </row>
    <row r="965" ht="15.75" customHeight="1" spans="1:13" x14ac:dyDescent="0.25">
      <c r="A965" s="1"/>
      <c r="B965" s="1"/>
      <c r="C965" s="1"/>
      <c r="D965" s="1"/>
      <c r="E965" s="1"/>
      <c r="F965" s="1"/>
      <c r="G965" s="1"/>
      <c r="H965" s="1"/>
      <c r="I965" s="1"/>
      <c r="J965" s="1"/>
      <c r="K965" s="1"/>
      <c r="L965" s="1"/>
      <c r="M965" s="1"/>
    </row>
    <row r="966" ht="15.75" customHeight="1" spans="1:13" x14ac:dyDescent="0.25">
      <c r="A966" s="1"/>
      <c r="B966" s="1"/>
      <c r="C966" s="1"/>
      <c r="D966" s="1"/>
      <c r="E966" s="1"/>
      <c r="F966" s="1"/>
      <c r="G966" s="1"/>
      <c r="H966" s="1"/>
      <c r="I966" s="1"/>
      <c r="J966" s="1"/>
      <c r="K966" s="1"/>
      <c r="L966" s="1"/>
      <c r="M966" s="1"/>
    </row>
    <row r="967" ht="15.75" customHeight="1" spans="1:13" x14ac:dyDescent="0.25">
      <c r="A967" s="1"/>
      <c r="B967" s="1"/>
      <c r="C967" s="1"/>
      <c r="D967" s="1"/>
      <c r="E967" s="1"/>
      <c r="F967" s="1"/>
      <c r="G967" s="1"/>
      <c r="H967" s="1"/>
      <c r="I967" s="1"/>
      <c r="J967" s="1"/>
      <c r="K967" s="1"/>
      <c r="L967" s="1"/>
      <c r="M967" s="1"/>
    </row>
    <row r="968" ht="15.75" customHeight="1" spans="1:13" x14ac:dyDescent="0.25">
      <c r="A968" s="1"/>
      <c r="B968" s="1"/>
      <c r="C968" s="1"/>
      <c r="D968" s="1"/>
      <c r="E968" s="1"/>
      <c r="F968" s="1"/>
      <c r="G968" s="1"/>
      <c r="H968" s="1"/>
      <c r="I968" s="1"/>
      <c r="J968" s="1"/>
      <c r="K968" s="1"/>
      <c r="L968" s="1"/>
      <c r="M968" s="1"/>
    </row>
    <row r="969" ht="15.75" customHeight="1" spans="1:13" x14ac:dyDescent="0.25">
      <c r="A969" s="1"/>
      <c r="B969" s="1"/>
      <c r="C969" s="1"/>
      <c r="D969" s="1"/>
      <c r="E969" s="1"/>
      <c r="F969" s="1"/>
      <c r="G969" s="1"/>
      <c r="H969" s="1"/>
      <c r="I969" s="1"/>
      <c r="J969" s="1"/>
      <c r="K969" s="1"/>
      <c r="L969" s="1"/>
      <c r="M969" s="1"/>
    </row>
    <row r="970" ht="15.75" customHeight="1" spans="1:13" x14ac:dyDescent="0.25">
      <c r="A970" s="1"/>
      <c r="B970" s="1"/>
      <c r="C970" s="1"/>
      <c r="D970" s="1"/>
      <c r="E970" s="1"/>
      <c r="F970" s="1"/>
      <c r="G970" s="1"/>
      <c r="H970" s="1"/>
      <c r="I970" s="1"/>
      <c r="J970" s="1"/>
      <c r="K970" s="1"/>
      <c r="L970" s="1"/>
      <c r="M970" s="1"/>
    </row>
    <row r="971" ht="15.75" customHeight="1" spans="1:13" x14ac:dyDescent="0.25">
      <c r="A971" s="1"/>
      <c r="B971" s="1"/>
      <c r="C971" s="1"/>
      <c r="D971" s="1"/>
      <c r="E971" s="1"/>
      <c r="F971" s="1"/>
      <c r="G971" s="1"/>
      <c r="H971" s="1"/>
      <c r="I971" s="1"/>
      <c r="J971" s="1"/>
      <c r="K971" s="1"/>
      <c r="L971" s="1"/>
      <c r="M971" s="1"/>
    </row>
    <row r="972" ht="15.75" customHeight="1" spans="1:13" x14ac:dyDescent="0.25">
      <c r="A972" s="1"/>
      <c r="B972" s="1"/>
      <c r="C972" s="1"/>
      <c r="D972" s="1"/>
      <c r="E972" s="1"/>
      <c r="F972" s="1"/>
      <c r="G972" s="1"/>
      <c r="H972" s="1"/>
      <c r="I972" s="1"/>
      <c r="J972" s="1"/>
      <c r="K972" s="1"/>
      <c r="L972" s="1"/>
      <c r="M972" s="1"/>
    </row>
    <row r="973" ht="15.75" customHeight="1" spans="1:13" x14ac:dyDescent="0.25">
      <c r="A973" s="1"/>
      <c r="B973" s="1"/>
      <c r="C973" s="1"/>
      <c r="D973" s="1"/>
      <c r="E973" s="1"/>
      <c r="F973" s="1"/>
      <c r="G973" s="1"/>
      <c r="H973" s="1"/>
      <c r="I973" s="1"/>
      <c r="J973" s="1"/>
      <c r="K973" s="1"/>
      <c r="L973" s="1"/>
      <c r="M973" s="1"/>
    </row>
    <row r="974" ht="15.75" customHeight="1" spans="1:13" x14ac:dyDescent="0.25">
      <c r="A974" s="1"/>
      <c r="B974" s="1"/>
      <c r="C974" s="1"/>
      <c r="D974" s="1"/>
      <c r="E974" s="1"/>
      <c r="F974" s="1"/>
      <c r="G974" s="1"/>
      <c r="H974" s="1"/>
      <c r="I974" s="1"/>
      <c r="J974" s="1"/>
      <c r="K974" s="1"/>
      <c r="L974" s="1"/>
      <c r="M974" s="1"/>
    </row>
    <row r="975" ht="15.75" customHeight="1" spans="1:13" x14ac:dyDescent="0.25">
      <c r="A975" s="1"/>
      <c r="B975" s="1"/>
      <c r="C975" s="1"/>
      <c r="D975" s="1"/>
      <c r="E975" s="1"/>
      <c r="F975" s="1"/>
      <c r="G975" s="1"/>
      <c r="H975" s="1"/>
      <c r="I975" s="1"/>
      <c r="J975" s="1"/>
      <c r="K975" s="1"/>
      <c r="L975" s="1"/>
      <c r="M975" s="1"/>
    </row>
    <row r="976" ht="15.75" customHeight="1" spans="1:13" x14ac:dyDescent="0.25">
      <c r="A976" s="1"/>
      <c r="B976" s="1"/>
      <c r="C976" s="1"/>
      <c r="D976" s="1"/>
      <c r="E976" s="1"/>
      <c r="F976" s="1"/>
      <c r="G976" s="1"/>
      <c r="H976" s="1"/>
      <c r="I976" s="1"/>
      <c r="J976" s="1"/>
      <c r="K976" s="1"/>
      <c r="L976" s="1"/>
      <c r="M976" s="1"/>
    </row>
    <row r="977" ht="15.75" customHeight="1" spans="1:13" x14ac:dyDescent="0.25">
      <c r="A977" s="1"/>
      <c r="B977" s="1"/>
      <c r="C977" s="1"/>
      <c r="D977" s="1"/>
      <c r="E977" s="1"/>
      <c r="F977" s="1"/>
      <c r="G977" s="1"/>
      <c r="H977" s="1"/>
      <c r="I977" s="1"/>
      <c r="J977" s="1"/>
      <c r="K977" s="1"/>
      <c r="L977" s="1"/>
      <c r="M977" s="1"/>
    </row>
    <row r="978" ht="15.75" customHeight="1" spans="1:13" x14ac:dyDescent="0.25">
      <c r="A978" s="1"/>
      <c r="B978" s="1"/>
      <c r="C978" s="1"/>
      <c r="D978" s="1"/>
      <c r="E978" s="1"/>
      <c r="F978" s="1"/>
      <c r="G978" s="1"/>
      <c r="H978" s="1"/>
      <c r="I978" s="1"/>
      <c r="J978" s="1"/>
      <c r="K978" s="1"/>
      <c r="L978" s="1"/>
      <c r="M978" s="1"/>
    </row>
    <row r="979" ht="15.75" customHeight="1" spans="1:13" x14ac:dyDescent="0.25">
      <c r="A979" s="1"/>
      <c r="B979" s="1"/>
      <c r="C979" s="1"/>
      <c r="D979" s="1"/>
      <c r="E979" s="1"/>
      <c r="F979" s="1"/>
      <c r="G979" s="1"/>
      <c r="H979" s="1"/>
      <c r="I979" s="1"/>
      <c r="J979" s="1"/>
      <c r="K979" s="1"/>
      <c r="L979" s="1"/>
      <c r="M979" s="1"/>
    </row>
    <row r="980" ht="15.75" customHeight="1" spans="1:13" x14ac:dyDescent="0.25">
      <c r="A980" s="1"/>
      <c r="B980" s="1"/>
      <c r="C980" s="1"/>
      <c r="D980" s="1"/>
      <c r="E980" s="1"/>
      <c r="F980" s="1"/>
      <c r="G980" s="1"/>
      <c r="H980" s="1"/>
      <c r="I980" s="1"/>
      <c r="J980" s="1"/>
      <c r="K980" s="1"/>
      <c r="L980" s="1"/>
      <c r="M980" s="1"/>
    </row>
    <row r="981" ht="15.75" customHeight="1" spans="1:13" x14ac:dyDescent="0.25">
      <c r="A981" s="1"/>
      <c r="B981" s="1"/>
      <c r="C981" s="1"/>
      <c r="D981" s="1"/>
      <c r="E981" s="1"/>
      <c r="F981" s="1"/>
      <c r="G981" s="1"/>
      <c r="H981" s="1"/>
      <c r="I981" s="1"/>
      <c r="J981" s="1"/>
      <c r="K981" s="1"/>
      <c r="L981" s="1"/>
      <c r="M981" s="1"/>
    </row>
    <row r="982" ht="15.75" customHeight="1" spans="1:13" x14ac:dyDescent="0.25">
      <c r="A982" s="1"/>
      <c r="B982" s="1"/>
      <c r="C982" s="1"/>
      <c r="D982" s="1"/>
      <c r="E982" s="1"/>
      <c r="F982" s="1"/>
      <c r="G982" s="1"/>
      <c r="H982" s="1"/>
      <c r="I982" s="1"/>
      <c r="J982" s="1"/>
      <c r="K982" s="1"/>
      <c r="L982" s="1"/>
      <c r="M982" s="1"/>
    </row>
    <row r="983" ht="15.75" customHeight="1" spans="1:13" x14ac:dyDescent="0.25">
      <c r="A983" s="1"/>
      <c r="B983" s="1"/>
      <c r="C983" s="1"/>
      <c r="D983" s="1"/>
      <c r="E983" s="1"/>
      <c r="F983" s="1"/>
      <c r="G983" s="1"/>
      <c r="H983" s="1"/>
      <c r="I983" s="1"/>
      <c r="J983" s="1"/>
      <c r="K983" s="1"/>
      <c r="L983" s="1"/>
      <c r="M983" s="1"/>
    </row>
    <row r="984" ht="15.75" customHeight="1" spans="1:13" x14ac:dyDescent="0.25">
      <c r="A984" s="1"/>
      <c r="B984" s="1"/>
      <c r="C984" s="1"/>
      <c r="D984" s="1"/>
      <c r="E984" s="1"/>
      <c r="F984" s="1"/>
      <c r="G984" s="1"/>
      <c r="H984" s="1"/>
      <c r="I984" s="1"/>
      <c r="J984" s="1"/>
      <c r="K984" s="1"/>
      <c r="L984" s="1"/>
      <c r="M984" s="1"/>
    </row>
    <row r="985" ht="15.75" customHeight="1" spans="1:13" x14ac:dyDescent="0.25">
      <c r="A985" s="1"/>
      <c r="B985" s="1"/>
      <c r="C985" s="1"/>
      <c r="D985" s="1"/>
      <c r="E985" s="1"/>
      <c r="F985" s="1"/>
      <c r="G985" s="1"/>
      <c r="H985" s="1"/>
      <c r="I985" s="1"/>
      <c r="J985" s="1"/>
      <c r="K985" s="1"/>
      <c r="L985" s="1"/>
      <c r="M985" s="1"/>
    </row>
    <row r="986" ht="15.75" customHeight="1" spans="1:13" x14ac:dyDescent="0.25">
      <c r="A986" s="1"/>
      <c r="B986" s="1"/>
      <c r="C986" s="1"/>
      <c r="D986" s="1"/>
      <c r="E986" s="1"/>
      <c r="F986" s="1"/>
      <c r="G986" s="1"/>
      <c r="H986" s="1"/>
      <c r="I986" s="1"/>
      <c r="J986" s="1"/>
      <c r="K986" s="1"/>
      <c r="L986" s="1"/>
      <c r="M986" s="1"/>
    </row>
    <row r="987" ht="15.75" customHeight="1" spans="1:13" x14ac:dyDescent="0.25">
      <c r="A987" s="1"/>
      <c r="B987" s="1"/>
      <c r="C987" s="1"/>
      <c r="D987" s="1"/>
      <c r="E987" s="1"/>
      <c r="F987" s="1"/>
      <c r="G987" s="1"/>
      <c r="H987" s="1"/>
      <c r="I987" s="1"/>
      <c r="J987" s="1"/>
      <c r="K987" s="1"/>
      <c r="L987" s="1"/>
      <c r="M987" s="1"/>
    </row>
    <row r="988" ht="15.75" customHeight="1" spans="1:13" x14ac:dyDescent="0.25">
      <c r="A988" s="1"/>
      <c r="B988" s="1"/>
      <c r="C988" s="1"/>
      <c r="D988" s="1"/>
      <c r="E988" s="1"/>
      <c r="F988" s="1"/>
      <c r="G988" s="1"/>
      <c r="H988" s="1"/>
      <c r="I988" s="1"/>
      <c r="J988" s="1"/>
      <c r="K988" s="1"/>
      <c r="L988" s="1"/>
      <c r="M988" s="1"/>
    </row>
    <row r="989" ht="15.75" customHeight="1" spans="1:13" x14ac:dyDescent="0.25">
      <c r="A989" s="1"/>
      <c r="B989" s="1"/>
      <c r="C989" s="1"/>
      <c r="D989" s="1"/>
      <c r="E989" s="1"/>
      <c r="F989" s="1"/>
      <c r="G989" s="1"/>
      <c r="H989" s="1"/>
      <c r="I989" s="1"/>
      <c r="J989" s="1"/>
      <c r="K989" s="1"/>
      <c r="L989" s="1"/>
      <c r="M989" s="1"/>
    </row>
    <row r="990" ht="15.75" customHeight="1" spans="1:13" x14ac:dyDescent="0.25">
      <c r="A990" s="1"/>
      <c r="B990" s="1"/>
      <c r="C990" s="1"/>
      <c r="D990" s="1"/>
      <c r="E990" s="1"/>
      <c r="F990" s="1"/>
      <c r="G990" s="1"/>
      <c r="H990" s="1"/>
      <c r="I990" s="1"/>
      <c r="J990" s="1"/>
      <c r="K990" s="1"/>
      <c r="L990" s="1"/>
      <c r="M990" s="1"/>
    </row>
    <row r="991" ht="15.75" customHeight="1" spans="1:13" x14ac:dyDescent="0.25">
      <c r="A991" s="1"/>
      <c r="B991" s="1"/>
      <c r="C991" s="1"/>
      <c r="D991" s="1"/>
      <c r="E991" s="1"/>
      <c r="F991" s="1"/>
      <c r="G991" s="1"/>
      <c r="H991" s="1"/>
      <c r="I991" s="1"/>
      <c r="J991" s="1"/>
      <c r="K991" s="1"/>
      <c r="L991" s="1"/>
      <c r="M991" s="1"/>
    </row>
    <row r="992" ht="15.75" customHeight="1" spans="1:13" x14ac:dyDescent="0.25">
      <c r="A992" s="1"/>
      <c r="B992" s="1"/>
      <c r="C992" s="1"/>
      <c r="D992" s="1"/>
      <c r="E992" s="1"/>
      <c r="F992" s="1"/>
      <c r="G992" s="1"/>
      <c r="H992" s="1"/>
      <c r="I992" s="1"/>
      <c r="J992" s="1"/>
      <c r="K992" s="1"/>
      <c r="L992" s="1"/>
      <c r="M992" s="1"/>
    </row>
    <row r="993" ht="15.75" customHeight="1" spans="1:13" x14ac:dyDescent="0.25">
      <c r="A993" s="1"/>
      <c r="B993" s="1"/>
      <c r="C993" s="1"/>
      <c r="D993" s="1"/>
      <c r="E993" s="1"/>
      <c r="F993" s="1"/>
      <c r="G993" s="1"/>
      <c r="H993" s="1"/>
      <c r="I993" s="1"/>
      <c r="J993" s="1"/>
      <c r="K993" s="1"/>
      <c r="L993" s="1"/>
      <c r="M993" s="1"/>
    </row>
    <row r="994" ht="15.75" customHeight="1" spans="1:13" x14ac:dyDescent="0.25">
      <c r="A994" s="1"/>
      <c r="B994" s="1"/>
      <c r="C994" s="1"/>
      <c r="D994" s="1"/>
      <c r="E994" s="1"/>
      <c r="F994" s="1"/>
      <c r="G994" s="1"/>
      <c r="H994" s="1"/>
      <c r="I994" s="1"/>
      <c r="J994" s="1"/>
      <c r="K994" s="1"/>
      <c r="L994" s="1"/>
      <c r="M994" s="1"/>
    </row>
    <row r="995" ht="15.75" customHeight="1" spans="1:13" x14ac:dyDescent="0.25">
      <c r="A995" s="1"/>
      <c r="B995" s="1"/>
      <c r="C995" s="1"/>
      <c r="D995" s="1"/>
      <c r="E995" s="1"/>
      <c r="F995" s="1"/>
      <c r="G995" s="1"/>
      <c r="H995" s="1"/>
      <c r="I995" s="1"/>
      <c r="J995" s="1"/>
      <c r="K995" s="1"/>
      <c r="L995" s="1"/>
      <c r="M995" s="1"/>
    </row>
    <row r="996" ht="15.75" customHeight="1" spans="1:13" x14ac:dyDescent="0.25">
      <c r="A996" s="1"/>
      <c r="B996" s="1"/>
      <c r="C996" s="1"/>
      <c r="D996" s="1"/>
      <c r="E996" s="1"/>
      <c r="F996" s="1"/>
      <c r="G996" s="1"/>
      <c r="H996" s="1"/>
      <c r="I996" s="1"/>
      <c r="J996" s="1"/>
      <c r="K996" s="1"/>
      <c r="L996" s="1"/>
      <c r="M996" s="1"/>
    </row>
    <row r="997" ht="15.75" customHeight="1" spans="1:13" x14ac:dyDescent="0.25">
      <c r="A997" s="1"/>
      <c r="B997" s="1"/>
      <c r="C997" s="1"/>
      <c r="D997" s="1"/>
      <c r="E997" s="1"/>
      <c r="F997" s="1"/>
      <c r="G997" s="1"/>
      <c r="H997" s="1"/>
      <c r="I997" s="1"/>
      <c r="J997" s="1"/>
      <c r="K997" s="1"/>
      <c r="L997" s="1"/>
      <c r="M997" s="1"/>
    </row>
    <row r="998" ht="15.75" customHeight="1" spans="1:13" x14ac:dyDescent="0.25">
      <c r="A998" s="1"/>
      <c r="B998" s="1"/>
      <c r="C998" s="1"/>
      <c r="D998" s="1"/>
      <c r="E998" s="1"/>
      <c r="F998" s="1"/>
      <c r="G998" s="1"/>
      <c r="H998" s="1"/>
      <c r="I998" s="1"/>
      <c r="J998" s="1"/>
      <c r="K998" s="1"/>
      <c r="L998" s="1"/>
      <c r="M998" s="1"/>
    </row>
    <row r="999" ht="15.75" customHeight="1" spans="1:13" x14ac:dyDescent="0.25">
      <c r="A999" s="1"/>
      <c r="B999" s="1"/>
      <c r="C999" s="1"/>
      <c r="D999" s="1"/>
      <c r="E999" s="1"/>
      <c r="F999" s="1"/>
      <c r="G999" s="1"/>
      <c r="H999" s="1"/>
      <c r="I999" s="1"/>
      <c r="J999" s="1"/>
      <c r="K999" s="1"/>
      <c r="L999" s="1"/>
      <c r="M999" s="1"/>
    </row>
  </sheetData>
  <pageMargins left="0.75" right="0.75" top="1" bottom="1" header="0" footer="0"/>
  <pageSetup paperSize="9"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3" max="3" width="26" customWidth="1"/>
    <col min="4" max="4" width="12" customWidth="1"/>
    <col min="5" max="5" width="30" customWidth="1"/>
    <col min="6" max="6" width="13" customWidth="1"/>
    <col min="7" max="7" width="15" customWidth="1"/>
    <col min="8" max="8" width="26" customWidth="1"/>
    <col min="9" max="9" width="70" customWidth="1"/>
    <col min="10" max="11" width="60" customWidth="1"/>
    <col min="12" max="12" width="26" customWidth="1"/>
  </cols>
  <sheetData>
    <row r="1" spans="1:12" x14ac:dyDescent="0.25">
      <c r="A1" s="16" t="s">
        <v>0</v>
      </c>
      <c r="B1" s="16" t="s">
        <v>1</v>
      </c>
      <c r="C1" s="16" t="s">
        <v>2</v>
      </c>
      <c r="D1" s="16" t="s">
        <v>3</v>
      </c>
      <c r="E1" s="16" t="s">
        <v>754</v>
      </c>
      <c r="F1" s="16" t="s">
        <v>755</v>
      </c>
      <c r="G1" s="16" t="s">
        <v>756</v>
      </c>
      <c r="H1" s="16" t="s">
        <v>670</v>
      </c>
      <c r="I1" s="16" t="s">
        <v>757</v>
      </c>
      <c r="J1" s="16" t="s">
        <v>758</v>
      </c>
      <c r="K1" s="16" t="s">
        <v>759</v>
      </c>
      <c r="L1" s="16" t="s">
        <v>647</v>
      </c>
    </row>
    <row r="2" spans="1:12" x14ac:dyDescent="0.25">
      <c r="A2" s="17" t="s">
        <v>317</v>
      </c>
      <c r="B2" s="17" t="s">
        <v>318</v>
      </c>
      <c r="C2" s="17" t="s">
        <v>319</v>
      </c>
      <c r="D2" s="17" t="s">
        <v>98</v>
      </c>
      <c r="E2" s="17" t="s">
        <v>760</v>
      </c>
      <c r="F2" s="17" t="s">
        <v>93</v>
      </c>
      <c r="G2" s="17" t="s">
        <v>761</v>
      </c>
      <c r="H2" s="17" t="s">
        <v>762</v>
      </c>
      <c r="I2" s="17" t="s">
        <v>763</v>
      </c>
      <c r="J2" s="17" t="s">
        <v>764</v>
      </c>
      <c r="K2" s="17" t="s">
        <v>765</v>
      </c>
      <c r="L2" s="17" t="s">
        <v>766</v>
      </c>
    </row>
    <row r="3" spans="1:12" x14ac:dyDescent="0.25">
      <c r="A3" s="17" t="s">
        <v>264</v>
      </c>
      <c r="B3" s="17" t="s">
        <v>265</v>
      </c>
      <c r="C3" s="17" t="s">
        <v>266</v>
      </c>
      <c r="D3" s="17" t="s">
        <v>98</v>
      </c>
      <c r="E3" s="17" t="s">
        <v>767</v>
      </c>
      <c r="F3" s="17" t="s">
        <v>768</v>
      </c>
      <c r="G3" s="17" t="s">
        <v>768</v>
      </c>
      <c r="H3" s="17" t="s">
        <v>769</v>
      </c>
      <c r="I3" s="17" t="s">
        <v>770</v>
      </c>
      <c r="J3" s="17" t="s">
        <v>771</v>
      </c>
      <c r="K3" s="17" t="s">
        <v>772</v>
      </c>
      <c r="L3" s="17" t="s">
        <v>773</v>
      </c>
    </row>
    <row r="4" spans="1:12" x14ac:dyDescent="0.25">
      <c r="A4" s="17" t="s">
        <v>95</v>
      </c>
      <c r="B4" s="17" t="s">
        <v>96</v>
      </c>
      <c r="C4" s="17" t="s">
        <v>97</v>
      </c>
      <c r="D4" s="17" t="s">
        <v>98</v>
      </c>
      <c r="E4" s="17" t="s">
        <v>774</v>
      </c>
      <c r="F4" s="17" t="s">
        <v>775</v>
      </c>
      <c r="G4" s="17" t="s">
        <v>93</v>
      </c>
      <c r="H4" s="17" t="s">
        <v>776</v>
      </c>
      <c r="I4" s="17" t="s">
        <v>777</v>
      </c>
      <c r="J4" s="17" t="s">
        <v>778</v>
      </c>
      <c r="K4" s="17" t="s">
        <v>779</v>
      </c>
      <c r="L4" s="17" t="s">
        <v>655</v>
      </c>
    </row>
    <row r="5" spans="1:12" x14ac:dyDescent="0.25">
      <c r="A5" s="17" t="s">
        <v>341</v>
      </c>
      <c r="B5" s="17" t="s">
        <v>342</v>
      </c>
      <c r="C5" s="17" t="s">
        <v>337</v>
      </c>
      <c r="D5" s="17" t="s">
        <v>98</v>
      </c>
      <c r="E5" s="17" t="s">
        <v>780</v>
      </c>
      <c r="F5" s="17" t="s">
        <v>775</v>
      </c>
      <c r="G5" s="17" t="s">
        <v>93</v>
      </c>
      <c r="H5" s="17" t="s">
        <v>656</v>
      </c>
      <c r="I5" s="17" t="s">
        <v>781</v>
      </c>
      <c r="J5" s="17" t="s">
        <v>782</v>
      </c>
      <c r="K5" s="17" t="s">
        <v>783</v>
      </c>
      <c r="L5" s="17" t="s">
        <v>658</v>
      </c>
    </row>
    <row r="6" spans="1:12" x14ac:dyDescent="0.25">
      <c r="A6" s="17" t="s">
        <v>330</v>
      </c>
      <c r="B6" s="17" t="s">
        <v>331</v>
      </c>
      <c r="C6" s="17" t="s">
        <v>269</v>
      </c>
      <c r="D6" s="17" t="s">
        <v>98</v>
      </c>
      <c r="E6" s="17" t="s">
        <v>784</v>
      </c>
      <c r="F6" s="17" t="s">
        <v>93</v>
      </c>
      <c r="G6" s="17" t="s">
        <v>93</v>
      </c>
      <c r="H6" s="17" t="s">
        <v>785</v>
      </c>
      <c r="I6" s="17" t="s">
        <v>786</v>
      </c>
      <c r="J6" s="17" t="s">
        <v>787</v>
      </c>
      <c r="K6" s="17" t="s">
        <v>788</v>
      </c>
      <c r="L6" s="17" t="s">
        <v>658</v>
      </c>
    </row>
    <row r="7" spans="1:12" x14ac:dyDescent="0.25">
      <c r="A7" s="17" t="s">
        <v>332</v>
      </c>
      <c r="B7" s="17" t="s">
        <v>333</v>
      </c>
      <c r="C7" s="17" t="s">
        <v>269</v>
      </c>
      <c r="D7" s="17" t="s">
        <v>98</v>
      </c>
      <c r="E7" s="17" t="s">
        <v>789</v>
      </c>
      <c r="F7" s="17" t="s">
        <v>93</v>
      </c>
      <c r="G7" s="17" t="s">
        <v>93</v>
      </c>
      <c r="H7" s="17" t="s">
        <v>656</v>
      </c>
      <c r="I7" s="17" t="s">
        <v>790</v>
      </c>
      <c r="J7" s="17" t="s">
        <v>791</v>
      </c>
      <c r="K7" s="17" t="s">
        <v>792</v>
      </c>
      <c r="L7" s="17" t="s">
        <v>658</v>
      </c>
    </row>
    <row r="8" spans="1:12" x14ac:dyDescent="0.25">
      <c r="A8" s="17" t="s">
        <v>90</v>
      </c>
      <c r="B8" s="17" t="s">
        <v>91</v>
      </c>
      <c r="C8" s="17" t="s">
        <v>28</v>
      </c>
      <c r="D8" s="17" t="s">
        <v>11</v>
      </c>
      <c r="E8" s="17" t="s">
        <v>793</v>
      </c>
      <c r="F8" s="17" t="s">
        <v>93</v>
      </c>
      <c r="G8" s="17" t="s">
        <v>93</v>
      </c>
      <c r="H8" s="17" t="s">
        <v>653</v>
      </c>
      <c r="I8" s="17" t="s">
        <v>794</v>
      </c>
      <c r="J8" s="17" t="s">
        <v>795</v>
      </c>
      <c r="K8" s="17" t="s">
        <v>796</v>
      </c>
      <c r="L8" s="17" t="s">
        <v>655</v>
      </c>
    </row>
    <row r="9" spans="1:12" x14ac:dyDescent="0.25">
      <c r="A9" s="17" t="s">
        <v>134</v>
      </c>
      <c r="B9" s="17" t="s">
        <v>135</v>
      </c>
      <c r="C9" s="17" t="s">
        <v>127</v>
      </c>
      <c r="D9" s="17" t="s">
        <v>98</v>
      </c>
      <c r="E9" s="17" t="s">
        <v>793</v>
      </c>
      <c r="F9" s="17" t="s">
        <v>93</v>
      </c>
      <c r="G9" s="17" t="s">
        <v>93</v>
      </c>
      <c r="H9" s="17" t="s">
        <v>653</v>
      </c>
      <c r="I9" s="17" t="s">
        <v>797</v>
      </c>
      <c r="J9" s="17" t="s">
        <v>795</v>
      </c>
      <c r="K9" s="17" t="s">
        <v>798</v>
      </c>
      <c r="L9" s="17" t="s">
        <v>655</v>
      </c>
    </row>
    <row r="10" spans="1:12" x14ac:dyDescent="0.25">
      <c r="A10" s="17" t="s">
        <v>191</v>
      </c>
      <c r="B10" s="17" t="s">
        <v>192</v>
      </c>
      <c r="C10" s="17" t="s">
        <v>10</v>
      </c>
      <c r="D10" s="17" t="s">
        <v>142</v>
      </c>
      <c r="E10" s="17" t="s">
        <v>793</v>
      </c>
      <c r="F10" s="17" t="s">
        <v>93</v>
      </c>
      <c r="G10" s="17" t="s">
        <v>93</v>
      </c>
      <c r="H10" s="17" t="s">
        <v>653</v>
      </c>
      <c r="I10" s="17" t="s">
        <v>799</v>
      </c>
      <c r="J10" s="17" t="s">
        <v>795</v>
      </c>
      <c r="K10" s="17" t="s">
        <v>800</v>
      </c>
      <c r="L10" s="17" t="s">
        <v>655</v>
      </c>
    </row>
    <row r="11" spans="1:12" x14ac:dyDescent="0.25">
      <c r="A11" s="17" t="s">
        <v>285</v>
      </c>
      <c r="B11" s="17" t="s">
        <v>286</v>
      </c>
      <c r="C11" s="17" t="s">
        <v>10</v>
      </c>
      <c r="D11" s="17" t="s">
        <v>142</v>
      </c>
      <c r="E11" s="17" t="s">
        <v>793</v>
      </c>
      <c r="F11" s="17" t="s">
        <v>93</v>
      </c>
      <c r="G11" s="17" t="s">
        <v>93</v>
      </c>
      <c r="H11" s="17" t="s">
        <v>653</v>
      </c>
      <c r="I11" s="17" t="s">
        <v>801</v>
      </c>
      <c r="J11" s="17" t="s">
        <v>802</v>
      </c>
      <c r="K11" s="17" t="s">
        <v>803</v>
      </c>
      <c r="L11" s="17" t="s">
        <v>655</v>
      </c>
    </row>
    <row r="12" spans="1:12" x14ac:dyDescent="0.25">
      <c r="A12" s="17" t="s">
        <v>338</v>
      </c>
      <c r="B12" s="17" t="s">
        <v>339</v>
      </c>
      <c r="C12" s="17" t="s">
        <v>337</v>
      </c>
      <c r="D12" s="17" t="s">
        <v>98</v>
      </c>
      <c r="E12" s="17" t="s">
        <v>793</v>
      </c>
      <c r="F12" s="17" t="s">
        <v>93</v>
      </c>
      <c r="G12" s="17" t="s">
        <v>93</v>
      </c>
      <c r="H12" s="17" t="s">
        <v>653</v>
      </c>
      <c r="I12" s="17" t="s">
        <v>804</v>
      </c>
      <c r="J12" s="17" t="s">
        <v>805</v>
      </c>
      <c r="K12" s="17" t="s">
        <v>806</v>
      </c>
      <c r="L12" s="17" t="s">
        <v>655</v>
      </c>
    </row>
    <row r="13" spans="1:12" x14ac:dyDescent="0.25">
      <c r="A13" s="17" t="s">
        <v>613</v>
      </c>
      <c r="B13" s="17" t="s">
        <v>614</v>
      </c>
      <c r="C13" s="17" t="s">
        <v>37</v>
      </c>
      <c r="D13" s="17" t="s">
        <v>98</v>
      </c>
      <c r="E13" s="17" t="s">
        <v>793</v>
      </c>
      <c r="F13" s="17" t="s">
        <v>93</v>
      </c>
      <c r="G13" s="17" t="s">
        <v>93</v>
      </c>
      <c r="H13" s="17" t="s">
        <v>653</v>
      </c>
      <c r="I13" s="17" t="s">
        <v>807</v>
      </c>
      <c r="J13" s="17" t="s">
        <v>795</v>
      </c>
      <c r="K13" s="17" t="s">
        <v>808</v>
      </c>
      <c r="L13" s="17" t="s">
        <v>655</v>
      </c>
    </row>
    <row r="14" spans="1:12" x14ac:dyDescent="0.25">
      <c r="A14" s="17" t="s">
        <v>176</v>
      </c>
      <c r="B14" s="17" t="s">
        <v>177</v>
      </c>
      <c r="C14" s="17" t="s">
        <v>127</v>
      </c>
      <c r="D14" s="17" t="s">
        <v>98</v>
      </c>
      <c r="E14" s="17" t="s">
        <v>809</v>
      </c>
      <c r="F14" s="17" t="s">
        <v>93</v>
      </c>
      <c r="G14" s="17" t="s">
        <v>93</v>
      </c>
      <c r="H14" s="17" t="s">
        <v>659</v>
      </c>
      <c r="I14" s="17" t="s">
        <v>810</v>
      </c>
      <c r="J14" s="17" t="s">
        <v>811</v>
      </c>
      <c r="K14" s="17" t="s">
        <v>812</v>
      </c>
      <c r="L14" s="17" t="s">
        <v>661</v>
      </c>
    </row>
    <row r="15" spans="1:12" x14ac:dyDescent="0.25">
      <c r="A15" s="17" t="s">
        <v>206</v>
      </c>
      <c r="B15" s="17" t="s">
        <v>207</v>
      </c>
      <c r="C15" s="17" t="s">
        <v>165</v>
      </c>
      <c r="D15" s="17" t="s">
        <v>98</v>
      </c>
      <c r="E15" s="17" t="s">
        <v>809</v>
      </c>
      <c r="F15" s="17" t="s">
        <v>93</v>
      </c>
      <c r="G15" s="17" t="s">
        <v>93</v>
      </c>
      <c r="H15" s="17" t="s">
        <v>659</v>
      </c>
      <c r="I15" s="17" t="s">
        <v>813</v>
      </c>
      <c r="J15" s="17" t="s">
        <v>811</v>
      </c>
      <c r="K15" s="17" t="s">
        <v>812</v>
      </c>
      <c r="L15" s="17" t="s">
        <v>661</v>
      </c>
    </row>
    <row r="16" spans="1:12" x14ac:dyDescent="0.25">
      <c r="A16" s="17" t="s">
        <v>261</v>
      </c>
      <c r="B16" s="17" t="s">
        <v>262</v>
      </c>
      <c r="C16" s="17" t="s">
        <v>186</v>
      </c>
      <c r="D16" s="17" t="s">
        <v>98</v>
      </c>
      <c r="E16" s="17" t="s">
        <v>809</v>
      </c>
      <c r="F16" s="17" t="s">
        <v>93</v>
      </c>
      <c r="G16" s="17" t="s">
        <v>93</v>
      </c>
      <c r="H16" s="17" t="s">
        <v>659</v>
      </c>
      <c r="I16" s="17" t="s">
        <v>814</v>
      </c>
      <c r="J16" s="17" t="s">
        <v>811</v>
      </c>
      <c r="K16" s="17" t="s">
        <v>812</v>
      </c>
      <c r="L16" s="17" t="s">
        <v>661</v>
      </c>
    </row>
    <row r="17" spans="1:12" x14ac:dyDescent="0.25">
      <c r="A17" s="17" t="s">
        <v>267</v>
      </c>
      <c r="B17" s="17" t="s">
        <v>268</v>
      </c>
      <c r="C17" s="17" t="s">
        <v>269</v>
      </c>
      <c r="D17" s="17" t="s">
        <v>98</v>
      </c>
      <c r="E17" s="17" t="s">
        <v>809</v>
      </c>
      <c r="F17" s="17" t="s">
        <v>93</v>
      </c>
      <c r="G17" s="17" t="s">
        <v>93</v>
      </c>
      <c r="H17" s="17" t="s">
        <v>659</v>
      </c>
      <c r="I17" s="17" t="s">
        <v>815</v>
      </c>
      <c r="J17" s="17" t="s">
        <v>811</v>
      </c>
      <c r="K17" s="17" t="s">
        <v>812</v>
      </c>
      <c r="L17" s="17" t="s">
        <v>661</v>
      </c>
    </row>
    <row r="18" spans="1:12" x14ac:dyDescent="0.25">
      <c r="A18" s="17" t="s">
        <v>320</v>
      </c>
      <c r="B18" s="17" t="s">
        <v>321</v>
      </c>
      <c r="C18" s="17" t="s">
        <v>319</v>
      </c>
      <c r="D18" s="17" t="s">
        <v>98</v>
      </c>
      <c r="E18" s="17" t="s">
        <v>809</v>
      </c>
      <c r="F18" s="17" t="s">
        <v>93</v>
      </c>
      <c r="G18" s="17" t="s">
        <v>93</v>
      </c>
      <c r="H18" s="17" t="s">
        <v>659</v>
      </c>
      <c r="I18" s="17" t="s">
        <v>816</v>
      </c>
      <c r="J18" s="17" t="s">
        <v>811</v>
      </c>
      <c r="K18" s="17" t="s">
        <v>812</v>
      </c>
      <c r="L18" s="17" t="s">
        <v>661</v>
      </c>
    </row>
    <row r="19" spans="1:12" x14ac:dyDescent="0.25">
      <c r="A19" s="17" t="s">
        <v>322</v>
      </c>
      <c r="B19" s="17" t="s">
        <v>323</v>
      </c>
      <c r="C19" s="17" t="s">
        <v>319</v>
      </c>
      <c r="D19" s="17" t="s">
        <v>98</v>
      </c>
      <c r="E19" s="17" t="s">
        <v>809</v>
      </c>
      <c r="F19" s="17" t="s">
        <v>93</v>
      </c>
      <c r="G19" s="17" t="s">
        <v>93</v>
      </c>
      <c r="H19" s="17" t="s">
        <v>659</v>
      </c>
      <c r="I19" s="17" t="s">
        <v>817</v>
      </c>
      <c r="J19" s="17" t="s">
        <v>811</v>
      </c>
      <c r="K19" s="17" t="s">
        <v>812</v>
      </c>
      <c r="L19" s="17" t="s">
        <v>661</v>
      </c>
    </row>
    <row r="20" spans="1:12" x14ac:dyDescent="0.25">
      <c r="A20" s="17" t="s">
        <v>325</v>
      </c>
      <c r="B20" s="17" t="s">
        <v>326</v>
      </c>
      <c r="C20" s="17" t="s">
        <v>269</v>
      </c>
      <c r="D20" s="17" t="s">
        <v>98</v>
      </c>
      <c r="E20" s="17" t="s">
        <v>809</v>
      </c>
      <c r="F20" s="17" t="s">
        <v>93</v>
      </c>
      <c r="G20" s="17" t="s">
        <v>93</v>
      </c>
      <c r="H20" s="17" t="s">
        <v>659</v>
      </c>
      <c r="I20" s="17" t="s">
        <v>818</v>
      </c>
      <c r="J20" s="17" t="s">
        <v>811</v>
      </c>
      <c r="K20" s="17" t="s">
        <v>812</v>
      </c>
      <c r="L20" s="17" t="s">
        <v>661</v>
      </c>
    </row>
    <row r="21" spans="1:12" x14ac:dyDescent="0.25">
      <c r="A21" s="17" t="s">
        <v>335</v>
      </c>
      <c r="B21" s="17" t="s">
        <v>336</v>
      </c>
      <c r="C21" s="17" t="s">
        <v>337</v>
      </c>
      <c r="D21" s="17" t="s">
        <v>98</v>
      </c>
      <c r="E21" s="17" t="s">
        <v>809</v>
      </c>
      <c r="F21" s="17" t="s">
        <v>93</v>
      </c>
      <c r="G21" s="17" t="s">
        <v>93</v>
      </c>
      <c r="H21" s="17" t="s">
        <v>659</v>
      </c>
      <c r="I21" s="17" t="s">
        <v>819</v>
      </c>
      <c r="J21" s="17" t="s">
        <v>811</v>
      </c>
      <c r="K21" s="17" t="s">
        <v>812</v>
      </c>
      <c r="L21" s="17" t="s">
        <v>661</v>
      </c>
    </row>
    <row r="22" spans="1:12" x14ac:dyDescent="0.25">
      <c r="A22" s="17" t="s">
        <v>344</v>
      </c>
      <c r="B22" s="17" t="s">
        <v>345</v>
      </c>
      <c r="C22" s="17" t="s">
        <v>337</v>
      </c>
      <c r="D22" s="17" t="s">
        <v>98</v>
      </c>
      <c r="E22" s="17" t="s">
        <v>809</v>
      </c>
      <c r="F22" s="17" t="s">
        <v>93</v>
      </c>
      <c r="G22" s="17" t="s">
        <v>93</v>
      </c>
      <c r="H22" s="17" t="s">
        <v>659</v>
      </c>
      <c r="I22" s="17" t="s">
        <v>820</v>
      </c>
      <c r="J22" s="17" t="s">
        <v>811</v>
      </c>
      <c r="K22" s="17" t="s">
        <v>812</v>
      </c>
      <c r="L22" s="17" t="s">
        <v>661</v>
      </c>
    </row>
  </sheetData>
  <autoFilter ref="A1:L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FormatPr defaultRowHeight="15" outlineLevelRow="0" outlineLevelCol="0" x14ac:dyDescent="55"/>
  <cols>
    <col min="1" max="1" width="46" customWidth="1"/>
    <col min="2" max="2" width="10" customWidth="1"/>
    <col min="3" max="3" width="50" customWidth="1"/>
    <col min="4" max="4" width="70" customWidth="1"/>
  </cols>
  <sheetData>
    <row r="1" spans="1:3" x14ac:dyDescent="0.25">
      <c r="A1" s="18" t="s">
        <v>821</v>
      </c>
      <c r="B1" s="18" t="s">
        <v>623</v>
      </c>
      <c r="C1" s="18" t="s">
        <v>822</v>
      </c>
    </row>
    <row r="2" spans="1:3" x14ac:dyDescent="0.25">
      <c r="A2" s="17" t="s">
        <v>12</v>
      </c>
      <c r="B2" s="17">
        <f>COUNTIF('Summary (All 189)'!$E:$E,"PASS")</f>
      </c>
      <c r="C2" s="17" t="s">
        <v>823</v>
      </c>
    </row>
    <row r="3" spans="1:3" x14ac:dyDescent="0.25">
      <c r="A3" s="17" t="s">
        <v>572</v>
      </c>
      <c r="B3" s="17">
        <f>COUNTIF('Summary (All 189)'!$E:$E,"FAIL")</f>
      </c>
      <c r="C3" s="17" t="s">
        <v>824</v>
      </c>
    </row>
    <row r="4" spans="1:3" x14ac:dyDescent="0.25">
      <c r="A4" s="17" t="s">
        <v>92</v>
      </c>
      <c r="B4" s="17">
        <f>COUNTIF('Summary (All 189)'!$E:$E,"BLOCKED")</f>
      </c>
      <c r="C4" s="17" t="s">
        <v>825</v>
      </c>
    </row>
    <row r="5" spans="1:2" x14ac:dyDescent="0.25">
      <c r="A5" s="18" t="s">
        <v>643</v>
      </c>
      <c r="B5" s="18">
        <f>SUM(B2:B4)</f>
      </c>
    </row>
    <row r="7" spans="1:3" x14ac:dyDescent="0.25">
      <c r="A7" s="18" t="s">
        <v>826</v>
      </c>
      <c r="B7" s="18" t="s">
        <v>623</v>
      </c>
      <c r="C7" s="18" t="s">
        <v>634</v>
      </c>
    </row>
    <row r="8" spans="1:3" x14ac:dyDescent="0.25">
      <c r="A8" s="17" t="s">
        <v>762</v>
      </c>
      <c r="B8" s="17">
        <f>COUNTIF('QA Testability 2026-10-02'!$H:$H,A8)</f>
      </c>
      <c r="C8" s="17" t="s">
        <v>640</v>
      </c>
    </row>
    <row r="9" spans="1:3" x14ac:dyDescent="0.25">
      <c r="A9" s="17" t="s">
        <v>769</v>
      </c>
      <c r="B9" s="17">
        <f>COUNTIF('QA Testability 2026-10-02'!$H:$H,A9)</f>
      </c>
      <c r="C9" s="17" t="s">
        <v>827</v>
      </c>
    </row>
    <row r="10" spans="1:3" x14ac:dyDescent="0.25">
      <c r="A10" s="17" t="s">
        <v>776</v>
      </c>
      <c r="B10" s="17">
        <f>COUNTIF('QA Testability 2026-10-02'!$H:$H,A10)</f>
      </c>
      <c r="C10" s="17" t="s">
        <v>828</v>
      </c>
    </row>
    <row r="11" spans="1:3" x14ac:dyDescent="0.25">
      <c r="A11" s="17" t="s">
        <v>656</v>
      </c>
      <c r="B11" s="17">
        <f>COUNTIF('QA Testability 2026-10-02'!$H:$H,A11)</f>
      </c>
      <c r="C11" s="17" t="s">
        <v>829</v>
      </c>
    </row>
    <row r="12" spans="1:3" x14ac:dyDescent="0.25">
      <c r="A12" s="17" t="s">
        <v>785</v>
      </c>
      <c r="B12" s="17">
        <f>COUNTIF('QA Testability 2026-10-02'!$H:$H,A12)</f>
      </c>
      <c r="C12" s="17" t="s">
        <v>830</v>
      </c>
    </row>
    <row r="13" spans="1:3" x14ac:dyDescent="0.25">
      <c r="A13" s="17" t="s">
        <v>653</v>
      </c>
      <c r="B13" s="17">
        <f>COUNTIF('QA Testability 2026-10-02'!$H:$H,A13)</f>
      </c>
      <c r="C13" s="17" t="s">
        <v>831</v>
      </c>
    </row>
    <row r="14" spans="1:3" x14ac:dyDescent="0.25">
      <c r="A14" s="17" t="s">
        <v>659</v>
      </c>
      <c r="B14" s="17">
        <f>COUNTIF('QA Testability 2026-10-02'!$H:$H,A14)</f>
      </c>
      <c r="C14" s="17" t="s">
        <v>660</v>
      </c>
    </row>
    <row r="15" spans="1:2" x14ac:dyDescent="0.25">
      <c r="A15" s="18" t="s">
        <v>643</v>
      </c>
      <c r="B15" s="18">
        <f>SUM(B8:B14)</f>
      </c>
    </row>
    <row r="17" spans="1:3" x14ac:dyDescent="0.25">
      <c r="A17" s="18" t="s">
        <v>832</v>
      </c>
      <c r="B17" s="18" t="s">
        <v>623</v>
      </c>
      <c r="C17" s="18" t="s">
        <v>634</v>
      </c>
    </row>
    <row r="18" spans="1:3" x14ac:dyDescent="0.25">
      <c r="A18" s="17" t="s">
        <v>833</v>
      </c>
      <c r="B18" s="17">
        <f>COUNTIF('QA Testability 2026-10-02'!$F:$F,"Partial")</f>
      </c>
      <c r="C18" s="17" t="s">
        <v>827</v>
      </c>
    </row>
    <row r="19" spans="1:3" x14ac:dyDescent="0.25">
      <c r="A19" s="17" t="s">
        <v>834</v>
      </c>
      <c r="B19" s="17">
        <f>COUNTIF('QA Testability 2026-10-02'!$F:$F,"Only with ops")</f>
      </c>
      <c r="C19" s="17" t="s">
        <v>835</v>
      </c>
    </row>
    <row r="20" spans="1:3" x14ac:dyDescent="0.25">
      <c r="A20" s="17" t="s">
        <v>836</v>
      </c>
      <c r="B20" s="17">
        <f>COUNTIF('QA Testability 2026-10-02'!$F:$F,"No")</f>
      </c>
      <c r="C20" s="17" t="s">
        <v>837</v>
      </c>
    </row>
    <row r="21" spans="1:2" x14ac:dyDescent="0.25">
      <c r="A21" s="18" t="s">
        <v>643</v>
      </c>
      <c r="B21" s="18">
        <f>SUM(B18:B20)</f>
      </c>
    </row>
    <row r="23" spans="1:3" x14ac:dyDescent="0.25">
      <c r="A23" s="18" t="s">
        <v>838</v>
      </c>
      <c r="B23" s="18" t="s">
        <v>839</v>
      </c>
      <c r="C23" s="18" t="s">
        <v>840</v>
      </c>
    </row>
    <row r="24" spans="1:3" x14ac:dyDescent="0.25">
      <c r="A24" s="17" t="s">
        <v>841</v>
      </c>
      <c r="B24" s="17" t="s">
        <v>839</v>
      </c>
      <c r="C24" s="17" t="s">
        <v>842</v>
      </c>
    </row>
    <row r="25" spans="1:3" x14ac:dyDescent="0.25">
      <c r="A25" s="17" t="s">
        <v>843</v>
      </c>
      <c r="B25" s="17" t="s">
        <v>839</v>
      </c>
      <c r="C25" s="17" t="s">
        <v>844</v>
      </c>
    </row>
    <row r="26" spans="1:3" x14ac:dyDescent="0.25">
      <c r="A26" s="17" t="s">
        <v>845</v>
      </c>
      <c r="B26" s="17" t="s">
        <v>839</v>
      </c>
      <c r="C26" s="17" t="s">
        <v>846</v>
      </c>
    </row>
    <row r="27" spans="1:3" x14ac:dyDescent="0.25">
      <c r="A27" s="17" t="s">
        <v>847</v>
      </c>
      <c r="B27" s="17" t="s">
        <v>839</v>
      </c>
      <c r="C27" s="17" t="s">
        <v>848</v>
      </c>
    </row>
    <row r="28" spans="1:3" x14ac:dyDescent="0.25">
      <c r="A28" s="17" t="s">
        <v>849</v>
      </c>
      <c r="B28" s="17" t="s">
        <v>839</v>
      </c>
      <c r="C28" s="17" t="s">
        <v>850</v>
      </c>
    </row>
    <row r="29" spans="1:3" x14ac:dyDescent="0.25">
      <c r="A29" s="17" t="s">
        <v>851</v>
      </c>
      <c r="B29" s="17" t="s">
        <v>839</v>
      </c>
      <c r="C29" s="17" t="s">
        <v>852</v>
      </c>
    </row>
    <row r="30" spans="1:3" x14ac:dyDescent="0.25">
      <c r="A30" s="17" t="s">
        <v>853</v>
      </c>
      <c r="B30" s="17" t="s">
        <v>839</v>
      </c>
      <c r="C30" s="17" t="s">
        <v>854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 (All 189)</vt:lpstr>
      <vt:lpstr>Blocked Triage</vt:lpstr>
      <vt:lpstr>PASS</vt:lpstr>
      <vt:lpstr>FAIL</vt:lpstr>
      <vt:lpstr>BLOCKED</vt:lpstr>
      <vt:lpstr>QA Testability 2026-10-02</vt:lpstr>
      <vt:lpstr>Recheck Summary 2026-10-02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2026-10-02T03:15:37Z</dcterms:created>
  <dcterms:modified xsi:type="dcterms:W3CDTF">2026-10-02T03:15:37Z</dcterms:modified>
</cp:coreProperties>
</file>